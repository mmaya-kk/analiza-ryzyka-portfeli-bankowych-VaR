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ja Kropielnicka\Desktop\"/>
    </mc:Choice>
  </mc:AlternateContent>
  <xr:revisionPtr revIDLastSave="0" documentId="13_ncr:1_{37A95AE8-1385-4071-9A95-4A16AC0834E9}" xr6:coauthVersionLast="47" xr6:coauthVersionMax="47" xr10:uidLastSave="{00000000-0000-0000-0000-000000000000}"/>
  <bookViews>
    <workbookView xWindow="-120" yWindow="-120" windowWidth="29040" windowHeight="15840" activeTab="2" xr2:uid="{A04067C2-5D02-4E01-A0FF-5A0243761CA0}"/>
  </bookViews>
  <sheets>
    <sheet name="dane" sheetId="1" r:id="rId1"/>
    <sheet name="obliczenia" sheetId="4" r:id="rId2"/>
    <sheet name="wyniki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4" l="1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7" i="4"/>
  <c r="E7" i="4"/>
  <c r="F7" i="4"/>
  <c r="G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7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7" i="4"/>
  <c r="P8" i="4"/>
  <c r="P9" i="4"/>
  <c r="P6" i="4"/>
  <c r="R199" i="4" l="1"/>
  <c r="R135" i="4"/>
  <c r="R71" i="4"/>
  <c r="R108" i="4"/>
  <c r="Q233" i="4"/>
  <c r="Q217" i="4"/>
  <c r="Q201" i="4"/>
  <c r="Q185" i="4"/>
  <c r="Q169" i="4"/>
  <c r="Q153" i="4"/>
  <c r="Q137" i="4"/>
  <c r="Q129" i="4"/>
  <c r="Q125" i="4"/>
  <c r="Q121" i="4"/>
  <c r="Q117" i="4"/>
  <c r="Q113" i="4"/>
  <c r="Q93" i="4"/>
  <c r="Q77" i="4"/>
  <c r="Q61" i="4"/>
  <c r="Q45" i="4"/>
  <c r="Q29" i="4"/>
  <c r="Q13" i="4"/>
  <c r="R167" i="4"/>
  <c r="R151" i="4"/>
  <c r="R119" i="4"/>
  <c r="R103" i="4"/>
  <c r="R87" i="4"/>
  <c r="R55" i="4"/>
  <c r="R39" i="4"/>
  <c r="R23" i="4"/>
  <c r="R231" i="4"/>
  <c r="R183" i="4"/>
  <c r="R18" i="4"/>
  <c r="R236" i="4"/>
  <c r="Q236" i="4"/>
  <c r="R224" i="4"/>
  <c r="Q224" i="4"/>
  <c r="R212" i="4"/>
  <c r="Q212" i="4"/>
  <c r="R204" i="4"/>
  <c r="Q204" i="4"/>
  <c r="R192" i="4"/>
  <c r="Q192" i="4"/>
  <c r="R180" i="4"/>
  <c r="Q180" i="4"/>
  <c r="R172" i="4"/>
  <c r="Q172" i="4"/>
  <c r="R164" i="4"/>
  <c r="Q164" i="4"/>
  <c r="R152" i="4"/>
  <c r="Q152" i="4"/>
  <c r="R144" i="4"/>
  <c r="Q144" i="4"/>
  <c r="R132" i="4"/>
  <c r="Q132" i="4"/>
  <c r="R124" i="4"/>
  <c r="Q124" i="4"/>
  <c r="R116" i="4"/>
  <c r="Q116" i="4"/>
  <c r="R104" i="4"/>
  <c r="Q104" i="4"/>
  <c r="R92" i="4"/>
  <c r="Q92" i="4"/>
  <c r="R80" i="4"/>
  <c r="Q80" i="4"/>
  <c r="R68" i="4"/>
  <c r="Q68" i="4"/>
  <c r="R56" i="4"/>
  <c r="Q56" i="4"/>
  <c r="R48" i="4"/>
  <c r="Q48" i="4"/>
  <c r="R36" i="4"/>
  <c r="Q36" i="4"/>
  <c r="R24" i="4"/>
  <c r="Q24" i="4"/>
  <c r="R12" i="4"/>
  <c r="Q12" i="4"/>
  <c r="R238" i="4"/>
  <c r="Q238" i="4"/>
  <c r="R234" i="4"/>
  <c r="Q234" i="4"/>
  <c r="R230" i="4"/>
  <c r="Q230" i="4"/>
  <c r="R226" i="4"/>
  <c r="Q226" i="4"/>
  <c r="R222" i="4"/>
  <c r="Q222" i="4"/>
  <c r="R218" i="4"/>
  <c r="Q218" i="4"/>
  <c r="R214" i="4"/>
  <c r="Q214" i="4"/>
  <c r="R210" i="4"/>
  <c r="Q210" i="4"/>
  <c r="R206" i="4"/>
  <c r="Q206" i="4"/>
  <c r="R202" i="4"/>
  <c r="Q202" i="4"/>
  <c r="R198" i="4"/>
  <c r="Q198" i="4"/>
  <c r="R194" i="4"/>
  <c r="Q194" i="4"/>
  <c r="R190" i="4"/>
  <c r="Q190" i="4"/>
  <c r="R186" i="4"/>
  <c r="Q186" i="4"/>
  <c r="R182" i="4"/>
  <c r="Q182" i="4"/>
  <c r="R178" i="4"/>
  <c r="Q178" i="4"/>
  <c r="R7" i="4"/>
  <c r="R237" i="4"/>
  <c r="R233" i="4"/>
  <c r="R229" i="4"/>
  <c r="R225" i="4"/>
  <c r="R221" i="4"/>
  <c r="R217" i="4"/>
  <c r="R213" i="4"/>
  <c r="R209" i="4"/>
  <c r="R205" i="4"/>
  <c r="R201" i="4"/>
  <c r="R197" i="4"/>
  <c r="R193" i="4"/>
  <c r="R189" i="4"/>
  <c r="R185" i="4"/>
  <c r="R181" i="4"/>
  <c r="R177" i="4"/>
  <c r="R173" i="4"/>
  <c r="R169" i="4"/>
  <c r="R165" i="4"/>
  <c r="R161" i="4"/>
  <c r="R157" i="4"/>
  <c r="R153" i="4"/>
  <c r="R149" i="4"/>
  <c r="R145" i="4"/>
  <c r="R141" i="4"/>
  <c r="R137" i="4"/>
  <c r="R133" i="4"/>
  <c r="Q105" i="4"/>
  <c r="Q101" i="4"/>
  <c r="Q89" i="4"/>
  <c r="Q85" i="4"/>
  <c r="Q73" i="4"/>
  <c r="Q69" i="4"/>
  <c r="Q57" i="4"/>
  <c r="Q53" i="4"/>
  <c r="Q41" i="4"/>
  <c r="Q37" i="4"/>
  <c r="Q25" i="4"/>
  <c r="Q21" i="4"/>
  <c r="Q9" i="4"/>
  <c r="Q229" i="4"/>
  <c r="Q213" i="4"/>
  <c r="Q197" i="4"/>
  <c r="Q181" i="4"/>
  <c r="Q165" i="4"/>
  <c r="Q149" i="4"/>
  <c r="Q133" i="4"/>
  <c r="R240" i="4"/>
  <c r="Q240" i="4"/>
  <c r="R228" i="4"/>
  <c r="Q228" i="4"/>
  <c r="R216" i="4"/>
  <c r="Q216" i="4"/>
  <c r="R200" i="4"/>
  <c r="Q200" i="4"/>
  <c r="R188" i="4"/>
  <c r="Q188" i="4"/>
  <c r="R176" i="4"/>
  <c r="Q176" i="4"/>
  <c r="R160" i="4"/>
  <c r="Q160" i="4"/>
  <c r="R148" i="4"/>
  <c r="Q148" i="4"/>
  <c r="R136" i="4"/>
  <c r="Q136" i="4"/>
  <c r="R128" i="4"/>
  <c r="Q128" i="4"/>
  <c r="R120" i="4"/>
  <c r="Q120" i="4"/>
  <c r="R112" i="4"/>
  <c r="Q112" i="4"/>
  <c r="R100" i="4"/>
  <c r="Q100" i="4"/>
  <c r="R88" i="4"/>
  <c r="Q88" i="4"/>
  <c r="R76" i="4"/>
  <c r="Q76" i="4"/>
  <c r="R64" i="4"/>
  <c r="Q64" i="4"/>
  <c r="R52" i="4"/>
  <c r="Q52" i="4"/>
  <c r="R40" i="4"/>
  <c r="Q40" i="4"/>
  <c r="R28" i="4"/>
  <c r="Q28" i="4"/>
  <c r="R16" i="4"/>
  <c r="Q16" i="4"/>
  <c r="Q7" i="4"/>
  <c r="Q225" i="4"/>
  <c r="Q209" i="4"/>
  <c r="Q193" i="4"/>
  <c r="Q177" i="4"/>
  <c r="Q161" i="4"/>
  <c r="Q145" i="4"/>
  <c r="R232" i="4"/>
  <c r="Q232" i="4"/>
  <c r="R220" i="4"/>
  <c r="Q220" i="4"/>
  <c r="R208" i="4"/>
  <c r="Q208" i="4"/>
  <c r="R196" i="4"/>
  <c r="Q196" i="4"/>
  <c r="R184" i="4"/>
  <c r="Q184" i="4"/>
  <c r="R168" i="4"/>
  <c r="Q168" i="4"/>
  <c r="R156" i="4"/>
  <c r="Q156" i="4"/>
  <c r="R140" i="4"/>
  <c r="Q140" i="4"/>
  <c r="R96" i="4"/>
  <c r="Q96" i="4"/>
  <c r="R84" i="4"/>
  <c r="Q84" i="4"/>
  <c r="R72" i="4"/>
  <c r="Q72" i="4"/>
  <c r="R60" i="4"/>
  <c r="Q60" i="4"/>
  <c r="R44" i="4"/>
  <c r="Q44" i="4"/>
  <c r="R32" i="4"/>
  <c r="Q32" i="4"/>
  <c r="R20" i="4"/>
  <c r="Q20" i="4"/>
  <c r="R8" i="4"/>
  <c r="Q8" i="4"/>
  <c r="R239" i="4"/>
  <c r="Q239" i="4"/>
  <c r="R235" i="4"/>
  <c r="Q235" i="4"/>
  <c r="Q231" i="4"/>
  <c r="Q227" i="4"/>
  <c r="R227" i="4"/>
  <c r="R223" i="4"/>
  <c r="Q223" i="4"/>
  <c r="R219" i="4"/>
  <c r="Q219" i="4"/>
  <c r="Q215" i="4"/>
  <c r="Q211" i="4"/>
  <c r="R211" i="4"/>
  <c r="R207" i="4"/>
  <c r="Q207" i="4"/>
  <c r="R203" i="4"/>
  <c r="Q203" i="4"/>
  <c r="Q199" i="4"/>
  <c r="Q195" i="4"/>
  <c r="R195" i="4"/>
  <c r="R191" i="4"/>
  <c r="Q191" i="4"/>
  <c r="R187" i="4"/>
  <c r="Q187" i="4"/>
  <c r="Q183" i="4"/>
  <c r="Q179" i="4"/>
  <c r="R179" i="4"/>
  <c r="R175" i="4"/>
  <c r="Q175" i="4"/>
  <c r="R171" i="4"/>
  <c r="Q167" i="4"/>
  <c r="Q163" i="4"/>
  <c r="R159" i="4"/>
  <c r="R155" i="4"/>
  <c r="Q151" i="4"/>
  <c r="Q147" i="4"/>
  <c r="R143" i="4"/>
  <c r="R139" i="4"/>
  <c r="Q135" i="4"/>
  <c r="Q131" i="4"/>
  <c r="R127" i="4"/>
  <c r="R123" i="4"/>
  <c r="Q119" i="4"/>
  <c r="Q115" i="4"/>
  <c r="Q237" i="4"/>
  <c r="Q221" i="4"/>
  <c r="Q205" i="4"/>
  <c r="Q189" i="4"/>
  <c r="Q173" i="4"/>
  <c r="Q157" i="4"/>
  <c r="Q141" i="4"/>
  <c r="Q108" i="4"/>
  <c r="R215" i="4"/>
  <c r="Q111" i="4"/>
  <c r="Q107" i="4"/>
  <c r="Q103" i="4"/>
  <c r="Q99" i="4"/>
  <c r="Q95" i="4"/>
  <c r="Q91" i="4"/>
  <c r="Q87" i="4"/>
  <c r="Q83" i="4"/>
  <c r="Q79" i="4"/>
  <c r="Q75" i="4"/>
  <c r="Q71" i="4"/>
  <c r="Q67" i="4"/>
  <c r="Q63" i="4"/>
  <c r="Q59" i="4"/>
  <c r="Q55" i="4"/>
  <c r="Q51" i="4"/>
  <c r="Q47" i="4"/>
  <c r="Q43" i="4"/>
  <c r="Q39" i="4"/>
  <c r="Q35" i="4"/>
  <c r="Q31" i="4"/>
  <c r="Q27" i="4"/>
  <c r="Q23" i="4"/>
  <c r="R19" i="4"/>
  <c r="Q19" i="4"/>
  <c r="R15" i="4"/>
  <c r="Q15" i="4"/>
  <c r="R11" i="4"/>
  <c r="Q11" i="4"/>
  <c r="R163" i="4"/>
  <c r="R147" i="4"/>
  <c r="R131" i="4"/>
  <c r="R115" i="4"/>
  <c r="R99" i="4"/>
  <c r="R83" i="4"/>
  <c r="R67" i="4"/>
  <c r="R51" i="4"/>
  <c r="R35" i="4"/>
  <c r="R174" i="4"/>
  <c r="R170" i="4"/>
  <c r="R166" i="4"/>
  <c r="R162" i="4"/>
  <c r="R158" i="4"/>
  <c r="R154" i="4"/>
  <c r="R150" i="4"/>
  <c r="R146" i="4"/>
  <c r="R142" i="4"/>
  <c r="R138" i="4"/>
  <c r="R134" i="4"/>
  <c r="R130" i="4"/>
  <c r="R126" i="4"/>
  <c r="R122" i="4"/>
  <c r="R118" i="4"/>
  <c r="R114" i="4"/>
  <c r="R110" i="4"/>
  <c r="Q106" i="4"/>
  <c r="R106" i="4"/>
  <c r="Q102" i="4"/>
  <c r="R102" i="4"/>
  <c r="Q98" i="4"/>
  <c r="R98" i="4"/>
  <c r="Q94" i="4"/>
  <c r="R94" i="4"/>
  <c r="Q90" i="4"/>
  <c r="R90" i="4"/>
  <c r="Q86" i="4"/>
  <c r="R86" i="4"/>
  <c r="Q82" i="4"/>
  <c r="R82" i="4"/>
  <c r="Q78" i="4"/>
  <c r="R78" i="4"/>
  <c r="Q74" i="4"/>
  <c r="R74" i="4"/>
  <c r="Q70" i="4"/>
  <c r="R70" i="4"/>
  <c r="Q66" i="4"/>
  <c r="R66" i="4"/>
  <c r="Q62" i="4"/>
  <c r="R62" i="4"/>
  <c r="Q58" i="4"/>
  <c r="R58" i="4"/>
  <c r="Q54" i="4"/>
  <c r="R54" i="4"/>
  <c r="Q50" i="4"/>
  <c r="R50" i="4"/>
  <c r="Q46" i="4"/>
  <c r="R46" i="4"/>
  <c r="Q42" i="4"/>
  <c r="R42" i="4"/>
  <c r="Q38" i="4"/>
  <c r="R38" i="4"/>
  <c r="Q34" i="4"/>
  <c r="R34" i="4"/>
  <c r="Q30" i="4"/>
  <c r="R30" i="4"/>
  <c r="Q26" i="4"/>
  <c r="R26" i="4"/>
  <c r="Q22" i="4"/>
  <c r="R22" i="4"/>
  <c r="Q18" i="4"/>
  <c r="Q14" i="4"/>
  <c r="Q10" i="4"/>
  <c r="Q171" i="4"/>
  <c r="Q159" i="4"/>
  <c r="Q155" i="4"/>
  <c r="Q143" i="4"/>
  <c r="Q139" i="4"/>
  <c r="Q127" i="4"/>
  <c r="Q123" i="4"/>
  <c r="Q110" i="4"/>
  <c r="R111" i="4"/>
  <c r="R95" i="4"/>
  <c r="R79" i="4"/>
  <c r="R63" i="4"/>
  <c r="R47" i="4"/>
  <c r="R31" i="4"/>
  <c r="R14" i="4"/>
  <c r="R129" i="4"/>
  <c r="R125" i="4"/>
  <c r="R121" i="4"/>
  <c r="R117" i="4"/>
  <c r="R113" i="4"/>
  <c r="R109" i="4"/>
  <c r="R105" i="4"/>
  <c r="R101" i="4"/>
  <c r="R97" i="4"/>
  <c r="R93" i="4"/>
  <c r="R89" i="4"/>
  <c r="R85" i="4"/>
  <c r="R81" i="4"/>
  <c r="R77" i="4"/>
  <c r="R73" i="4"/>
  <c r="R69" i="4"/>
  <c r="R65" i="4"/>
  <c r="R61" i="4"/>
  <c r="R57" i="4"/>
  <c r="R53" i="4"/>
  <c r="R49" i="4"/>
  <c r="R45" i="4"/>
  <c r="R41" i="4"/>
  <c r="R37" i="4"/>
  <c r="R33" i="4"/>
  <c r="R29" i="4"/>
  <c r="R25" i="4"/>
  <c r="R21" i="4"/>
  <c r="R17" i="4"/>
  <c r="R13" i="4"/>
  <c r="R9" i="4"/>
  <c r="Q174" i="4"/>
  <c r="Q170" i="4"/>
  <c r="Q166" i="4"/>
  <c r="Q162" i="4"/>
  <c r="Q158" i="4"/>
  <c r="Q154" i="4"/>
  <c r="Q150" i="4"/>
  <c r="Q146" i="4"/>
  <c r="Q142" i="4"/>
  <c r="Q138" i="4"/>
  <c r="Q134" i="4"/>
  <c r="Q130" i="4"/>
  <c r="Q126" i="4"/>
  <c r="Q122" i="4"/>
  <c r="Q118" i="4"/>
  <c r="Q114" i="4"/>
  <c r="Q109" i="4"/>
  <c r="Q97" i="4"/>
  <c r="Q81" i="4"/>
  <c r="Q65" i="4"/>
  <c r="Q49" i="4"/>
  <c r="Q33" i="4"/>
  <c r="Q17" i="4"/>
  <c r="R107" i="4"/>
  <c r="R91" i="4"/>
  <c r="R75" i="4"/>
  <c r="R59" i="4"/>
  <c r="R43" i="4"/>
  <c r="R27" i="4"/>
  <c r="R10" i="4"/>
  <c r="H8" i="8" l="1"/>
  <c r="H7" i="8"/>
  <c r="L7" i="8"/>
  <c r="L8" i="8"/>
  <c r="G7" i="8"/>
  <c r="K7" i="8"/>
  <c r="K8" i="8"/>
  <c r="G8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3F0755-7E3A-4F42-82C5-ECB91008BE4A}" keepAlive="1" name="Zapytanie — alr_d" description="Połączenie z zapytaniem „alr_d” w skoroszycie." type="5" refreshedVersion="0" background="1">
    <dbPr connection="Provider=Microsoft.Mashup.OleDb.1;Data Source=$Workbook$;Location=alr_d;Extended Properties=&quot;&quot;" command="SELECT * FROM [alr_d]"/>
  </connection>
  <connection id="2" xr16:uid="{E58CB1F9-1291-40ED-95F4-E3CD678C49D6}" keepAlive="1" name="Zapytanie — mbk_d" description="Połączenie z zapytaniem „mbk_d” w skoroszycie." type="5" refreshedVersion="0" background="1">
    <dbPr connection="Provider=Microsoft.Mashup.OleDb.1;Data Source=$Workbook$;Location=mbk_d;Extended Properties=&quot;&quot;" command="SELECT * FROM [mbk_d]"/>
  </connection>
  <connection id="3" xr16:uid="{2C777FFB-91B2-4CC7-AC78-95A00246A246}" keepAlive="1" name="Zapytanie — peo_d" description="Połączenie z zapytaniem „peo_d” w skoroszycie." type="5" refreshedVersion="0" background="1">
    <dbPr connection="Provider=Microsoft.Mashup.OleDb.1;Data Source=$Workbook$;Location=peo_d;Extended Properties=&quot;&quot;" command="SELECT * FROM [peo_d]"/>
  </connection>
  <connection id="4" xr16:uid="{7DA3C226-E621-476E-9CD3-996D39AE2E1A}" keepAlive="1" name="Zapytanie — pko_d" description="Połączenie z zapytaniem „pko_d” w skoroszycie." type="5" refreshedVersion="0" background="1">
    <dbPr connection="Provider=Microsoft.Mashup.OleDb.1;Data Source=$Workbook$;Location=pko_d;Extended Properties=&quot;&quot;" command="SELECT * FROM [pko_d]"/>
  </connection>
  <connection id="5" xr16:uid="{6E20597C-669C-4514-B40E-B8154BEBEF50}" keepAlive="1" name="Zapytanie — pko_d (2)" description="Połączenie z zapytaniem „pko_d (2)” w skoroszycie." type="5" refreshedVersion="7" background="1" saveData="1">
    <dbPr connection="Provider=Microsoft.Mashup.OleDb.1;Data Source=$Workbook$;Location=&quot;pko_d (2)&quot;;Extended Properties=&quot;&quot;" command="SELECT * FROM [pko_d (2)]"/>
  </connection>
  <connection id="6" xr16:uid="{1ECC6C7D-2D27-43AA-A7FB-C5766C4C16E8}" keepAlive="1" name="Zapytanie — spl_d" description="Połączenie z zapytaniem „spl_d” w skoroszycie." type="5" refreshedVersion="0" background="1">
    <dbPr connection="Provider=Microsoft.Mashup.OleDb.1;Data Source=$Workbook$;Location=spl_d;Extended Properties=&quot;&quot;" command="SELECT * FROM [spl_d]"/>
  </connection>
</connections>
</file>

<file path=xl/sharedStrings.xml><?xml version="1.0" encoding="utf-8"?>
<sst xmlns="http://schemas.openxmlformats.org/spreadsheetml/2006/main" count="42" uniqueCount="20">
  <si>
    <t>Data</t>
  </si>
  <si>
    <t>DATA</t>
  </si>
  <si>
    <t>mBank</t>
  </si>
  <si>
    <t>Alior Bank</t>
  </si>
  <si>
    <t>Santander BP</t>
  </si>
  <si>
    <t>PKO BP</t>
  </si>
  <si>
    <t>Bank Pekao</t>
  </si>
  <si>
    <t>Dzienne stopy zwrotu</t>
  </si>
  <si>
    <t>Portfele</t>
  </si>
  <si>
    <t>Portfel A</t>
  </si>
  <si>
    <t>Portfel A (równe wagi)</t>
  </si>
  <si>
    <t>Portfel B (losowe wagi)</t>
  </si>
  <si>
    <t xml:space="preserve">Portfel B </t>
  </si>
  <si>
    <t>Dzienne stopy zwrotu dla obu portfeli</t>
  </si>
  <si>
    <t>BANK</t>
  </si>
  <si>
    <t>WAGA</t>
  </si>
  <si>
    <t>VaR historyczny</t>
  </si>
  <si>
    <t>Portfel B</t>
  </si>
  <si>
    <t>%</t>
  </si>
  <si>
    <t>VaR parametryczny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</si>
</sst>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194E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Fill="1" applyBorder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9" fontId="0" fillId="0" borderId="22" xfId="0" applyNumberFormat="1" applyBorder="1"/>
    <xf numFmtId="0" fontId="0" fillId="0" borderId="17" xfId="0" applyBorder="1"/>
    <xf numFmtId="9" fontId="0" fillId="0" borderId="23" xfId="0" applyNumberForma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9" fontId="0" fillId="0" borderId="0" xfId="0" applyNumberFormat="1" applyFill="1" applyBorder="1"/>
    <xf numFmtId="14" fontId="0" fillId="0" borderId="0" xfId="0" applyNumberFormat="1" applyFill="1"/>
    <xf numFmtId="0" fontId="0" fillId="0" borderId="0" xfId="0" applyFill="1"/>
    <xf numFmtId="9" fontId="0" fillId="0" borderId="0" xfId="0" applyNumberFormat="1" applyBorder="1"/>
    <xf numFmtId="0" fontId="0" fillId="0" borderId="0" xfId="0" applyBorder="1"/>
    <xf numFmtId="0" fontId="1" fillId="8" borderId="5" xfId="0" applyFont="1" applyFill="1" applyBorder="1" applyAlignment="1">
      <alignment horizontal="center" wrapText="1"/>
    </xf>
    <xf numFmtId="0" fontId="1" fillId="8" borderId="6" xfId="0" applyFont="1" applyFill="1" applyBorder="1" applyAlignment="1">
      <alignment horizontal="center" wrapText="1"/>
    </xf>
    <xf numFmtId="0" fontId="1" fillId="8" borderId="7" xfId="0" applyFont="1" applyFill="1" applyBorder="1" applyAlignment="1">
      <alignment horizontal="center" wrapText="1"/>
    </xf>
    <xf numFmtId="0" fontId="1" fillId="8" borderId="8" xfId="0" applyFont="1" applyFill="1" applyBorder="1" applyAlignment="1">
      <alignment horizontal="center" wrapText="1"/>
    </xf>
    <xf numFmtId="0" fontId="1" fillId="8" borderId="9" xfId="0" applyFont="1" applyFill="1" applyBorder="1" applyAlignment="1">
      <alignment horizontal="center" wrapText="1"/>
    </xf>
    <xf numFmtId="0" fontId="1" fillId="8" borderId="10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194E2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Dzienne</a:t>
            </a:r>
            <a:r>
              <a:rPr lang="en-GB" b="1" baseline="0"/>
              <a:t> stopy zwrotu dla obu portfeli</a:t>
            </a:r>
            <a:endParaRPr lang="pl-PL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obliczenia!$R$5</c:f>
              <c:strCache>
                <c:ptCount val="1"/>
                <c:pt idx="0">
                  <c:v>Portfel B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obliczenia!$P$6:$P$240</c:f>
              <c:numCache>
                <c:formatCode>m/d/yyyy</c:formatCode>
                <c:ptCount val="235"/>
                <c:pt idx="0">
                  <c:v>45779</c:v>
                </c:pt>
                <c:pt idx="1">
                  <c:v>45782</c:v>
                </c:pt>
                <c:pt idx="2">
                  <c:v>45783</c:v>
                </c:pt>
                <c:pt idx="3">
                  <c:v>45784</c:v>
                </c:pt>
                <c:pt idx="4">
                  <c:v>45785</c:v>
                </c:pt>
                <c:pt idx="5">
                  <c:v>45786</c:v>
                </c:pt>
                <c:pt idx="6">
                  <c:v>45789</c:v>
                </c:pt>
                <c:pt idx="7">
                  <c:v>45790</c:v>
                </c:pt>
                <c:pt idx="8">
                  <c:v>45791</c:v>
                </c:pt>
                <c:pt idx="9">
                  <c:v>45792</c:v>
                </c:pt>
                <c:pt idx="10">
                  <c:v>45793</c:v>
                </c:pt>
                <c:pt idx="11">
                  <c:v>45796</c:v>
                </c:pt>
                <c:pt idx="12">
                  <c:v>45797</c:v>
                </c:pt>
                <c:pt idx="13">
                  <c:v>45798</c:v>
                </c:pt>
                <c:pt idx="14">
                  <c:v>45799</c:v>
                </c:pt>
                <c:pt idx="15">
                  <c:v>45800</c:v>
                </c:pt>
                <c:pt idx="16">
                  <c:v>45803</c:v>
                </c:pt>
                <c:pt idx="17">
                  <c:v>45804</c:v>
                </c:pt>
                <c:pt idx="18">
                  <c:v>45805</c:v>
                </c:pt>
                <c:pt idx="19">
                  <c:v>45806</c:v>
                </c:pt>
                <c:pt idx="20">
                  <c:v>45807</c:v>
                </c:pt>
                <c:pt idx="21">
                  <c:v>45810</c:v>
                </c:pt>
                <c:pt idx="22">
                  <c:v>45811</c:v>
                </c:pt>
                <c:pt idx="23">
                  <c:v>45812</c:v>
                </c:pt>
                <c:pt idx="24">
                  <c:v>45813</c:v>
                </c:pt>
                <c:pt idx="25">
                  <c:v>45814</c:v>
                </c:pt>
                <c:pt idx="26">
                  <c:v>45817</c:v>
                </c:pt>
                <c:pt idx="27">
                  <c:v>45818</c:v>
                </c:pt>
                <c:pt idx="28">
                  <c:v>45819</c:v>
                </c:pt>
                <c:pt idx="29">
                  <c:v>45820</c:v>
                </c:pt>
                <c:pt idx="30">
                  <c:v>45821</c:v>
                </c:pt>
                <c:pt idx="31">
                  <c:v>45824</c:v>
                </c:pt>
                <c:pt idx="32">
                  <c:v>45825</c:v>
                </c:pt>
                <c:pt idx="33">
                  <c:v>45826</c:v>
                </c:pt>
                <c:pt idx="34">
                  <c:v>45828</c:v>
                </c:pt>
                <c:pt idx="35">
                  <c:v>45831</c:v>
                </c:pt>
                <c:pt idx="36">
                  <c:v>45832</c:v>
                </c:pt>
                <c:pt idx="37">
                  <c:v>45833</c:v>
                </c:pt>
                <c:pt idx="38">
                  <c:v>45834</c:v>
                </c:pt>
                <c:pt idx="39">
                  <c:v>45835</c:v>
                </c:pt>
                <c:pt idx="40">
                  <c:v>45838</c:v>
                </c:pt>
                <c:pt idx="41">
                  <c:v>45839</c:v>
                </c:pt>
                <c:pt idx="42">
                  <c:v>45840</c:v>
                </c:pt>
                <c:pt idx="43">
                  <c:v>45841</c:v>
                </c:pt>
                <c:pt idx="44">
                  <c:v>45842</c:v>
                </c:pt>
                <c:pt idx="45">
                  <c:v>45845</c:v>
                </c:pt>
                <c:pt idx="46">
                  <c:v>45846</c:v>
                </c:pt>
                <c:pt idx="47">
                  <c:v>45847</c:v>
                </c:pt>
                <c:pt idx="48">
                  <c:v>45848</c:v>
                </c:pt>
                <c:pt idx="49">
                  <c:v>45849</c:v>
                </c:pt>
                <c:pt idx="50">
                  <c:v>45852</c:v>
                </c:pt>
                <c:pt idx="51">
                  <c:v>45853</c:v>
                </c:pt>
                <c:pt idx="52">
                  <c:v>45854</c:v>
                </c:pt>
                <c:pt idx="53">
                  <c:v>45855</c:v>
                </c:pt>
                <c:pt idx="54">
                  <c:v>45856</c:v>
                </c:pt>
                <c:pt idx="55">
                  <c:v>45859</c:v>
                </c:pt>
                <c:pt idx="56">
                  <c:v>45860</c:v>
                </c:pt>
                <c:pt idx="57">
                  <c:v>45861</c:v>
                </c:pt>
                <c:pt idx="58">
                  <c:v>45862</c:v>
                </c:pt>
                <c:pt idx="59">
                  <c:v>45863</c:v>
                </c:pt>
                <c:pt idx="60">
                  <c:v>45866</c:v>
                </c:pt>
                <c:pt idx="61">
                  <c:v>45867</c:v>
                </c:pt>
                <c:pt idx="62">
                  <c:v>45868</c:v>
                </c:pt>
                <c:pt idx="63">
                  <c:v>45869</c:v>
                </c:pt>
                <c:pt idx="64">
                  <c:v>45870</c:v>
                </c:pt>
                <c:pt idx="65">
                  <c:v>45873</c:v>
                </c:pt>
                <c:pt idx="66">
                  <c:v>45874</c:v>
                </c:pt>
                <c:pt idx="67">
                  <c:v>45875</c:v>
                </c:pt>
                <c:pt idx="68">
                  <c:v>45876</c:v>
                </c:pt>
                <c:pt idx="69">
                  <c:v>45877</c:v>
                </c:pt>
                <c:pt idx="70">
                  <c:v>45880</c:v>
                </c:pt>
                <c:pt idx="71">
                  <c:v>45881</c:v>
                </c:pt>
                <c:pt idx="72">
                  <c:v>45882</c:v>
                </c:pt>
                <c:pt idx="73">
                  <c:v>45883</c:v>
                </c:pt>
                <c:pt idx="74">
                  <c:v>45887</c:v>
                </c:pt>
                <c:pt idx="75">
                  <c:v>45888</c:v>
                </c:pt>
                <c:pt idx="76">
                  <c:v>45889</c:v>
                </c:pt>
                <c:pt idx="77">
                  <c:v>45890</c:v>
                </c:pt>
                <c:pt idx="78">
                  <c:v>45891</c:v>
                </c:pt>
                <c:pt idx="79">
                  <c:v>45894</c:v>
                </c:pt>
                <c:pt idx="80">
                  <c:v>45895</c:v>
                </c:pt>
                <c:pt idx="81">
                  <c:v>45896</c:v>
                </c:pt>
                <c:pt idx="82">
                  <c:v>45897</c:v>
                </c:pt>
                <c:pt idx="83">
                  <c:v>45898</c:v>
                </c:pt>
                <c:pt idx="84">
                  <c:v>45901</c:v>
                </c:pt>
                <c:pt idx="85">
                  <c:v>45902</c:v>
                </c:pt>
                <c:pt idx="86">
                  <c:v>45903</c:v>
                </c:pt>
                <c:pt idx="87">
                  <c:v>45904</c:v>
                </c:pt>
                <c:pt idx="88">
                  <c:v>45905</c:v>
                </c:pt>
                <c:pt idx="89">
                  <c:v>45908</c:v>
                </c:pt>
                <c:pt idx="90">
                  <c:v>45909</c:v>
                </c:pt>
                <c:pt idx="91">
                  <c:v>45910</c:v>
                </c:pt>
                <c:pt idx="92">
                  <c:v>45911</c:v>
                </c:pt>
                <c:pt idx="93">
                  <c:v>45912</c:v>
                </c:pt>
                <c:pt idx="94">
                  <c:v>45915</c:v>
                </c:pt>
                <c:pt idx="95">
                  <c:v>45916</c:v>
                </c:pt>
                <c:pt idx="96">
                  <c:v>45917</c:v>
                </c:pt>
                <c:pt idx="97">
                  <c:v>45918</c:v>
                </c:pt>
                <c:pt idx="98">
                  <c:v>45919</c:v>
                </c:pt>
                <c:pt idx="99">
                  <c:v>45922</c:v>
                </c:pt>
                <c:pt idx="100">
                  <c:v>45923</c:v>
                </c:pt>
                <c:pt idx="101">
                  <c:v>45924</c:v>
                </c:pt>
                <c:pt idx="102">
                  <c:v>45925</c:v>
                </c:pt>
                <c:pt idx="103">
                  <c:v>45926</c:v>
                </c:pt>
                <c:pt idx="104">
                  <c:v>45929</c:v>
                </c:pt>
                <c:pt idx="105">
                  <c:v>45930</c:v>
                </c:pt>
                <c:pt idx="106">
                  <c:v>45931</c:v>
                </c:pt>
                <c:pt idx="107">
                  <c:v>45932</c:v>
                </c:pt>
                <c:pt idx="108">
                  <c:v>45933</c:v>
                </c:pt>
                <c:pt idx="109">
                  <c:v>45936</c:v>
                </c:pt>
                <c:pt idx="110">
                  <c:v>45937</c:v>
                </c:pt>
                <c:pt idx="111">
                  <c:v>45938</c:v>
                </c:pt>
                <c:pt idx="112">
                  <c:v>45939</c:v>
                </c:pt>
                <c:pt idx="113">
                  <c:v>45940</c:v>
                </c:pt>
                <c:pt idx="114">
                  <c:v>45943</c:v>
                </c:pt>
                <c:pt idx="115">
                  <c:v>45944</c:v>
                </c:pt>
                <c:pt idx="116">
                  <c:v>45945</c:v>
                </c:pt>
                <c:pt idx="117">
                  <c:v>45946</c:v>
                </c:pt>
                <c:pt idx="118">
                  <c:v>45947</c:v>
                </c:pt>
                <c:pt idx="119">
                  <c:v>45950</c:v>
                </c:pt>
                <c:pt idx="120">
                  <c:v>45951</c:v>
                </c:pt>
                <c:pt idx="121">
                  <c:v>45952</c:v>
                </c:pt>
                <c:pt idx="122">
                  <c:v>45953</c:v>
                </c:pt>
                <c:pt idx="123">
                  <c:v>45954</c:v>
                </c:pt>
                <c:pt idx="124">
                  <c:v>45957</c:v>
                </c:pt>
                <c:pt idx="125">
                  <c:v>45958</c:v>
                </c:pt>
                <c:pt idx="126">
                  <c:v>45959</c:v>
                </c:pt>
                <c:pt idx="127">
                  <c:v>45960</c:v>
                </c:pt>
                <c:pt idx="128">
                  <c:v>45961</c:v>
                </c:pt>
                <c:pt idx="129">
                  <c:v>45964</c:v>
                </c:pt>
                <c:pt idx="130">
                  <c:v>45965</c:v>
                </c:pt>
                <c:pt idx="131">
                  <c:v>45966</c:v>
                </c:pt>
                <c:pt idx="132">
                  <c:v>45967</c:v>
                </c:pt>
                <c:pt idx="133">
                  <c:v>45968</c:v>
                </c:pt>
                <c:pt idx="134">
                  <c:v>45971</c:v>
                </c:pt>
                <c:pt idx="135">
                  <c:v>45973</c:v>
                </c:pt>
                <c:pt idx="136">
                  <c:v>45974</c:v>
                </c:pt>
                <c:pt idx="137">
                  <c:v>45975</c:v>
                </c:pt>
                <c:pt idx="138">
                  <c:v>45978</c:v>
                </c:pt>
                <c:pt idx="139">
                  <c:v>45979</c:v>
                </c:pt>
                <c:pt idx="140">
                  <c:v>45980</c:v>
                </c:pt>
                <c:pt idx="141">
                  <c:v>45981</c:v>
                </c:pt>
                <c:pt idx="142">
                  <c:v>45982</c:v>
                </c:pt>
                <c:pt idx="143">
                  <c:v>45985</c:v>
                </c:pt>
                <c:pt idx="144">
                  <c:v>45986</c:v>
                </c:pt>
                <c:pt idx="145">
                  <c:v>45987</c:v>
                </c:pt>
                <c:pt idx="146">
                  <c:v>45988</c:v>
                </c:pt>
                <c:pt idx="147">
                  <c:v>45989</c:v>
                </c:pt>
                <c:pt idx="148">
                  <c:v>45992</c:v>
                </c:pt>
                <c:pt idx="149">
                  <c:v>45993</c:v>
                </c:pt>
                <c:pt idx="150">
                  <c:v>45994</c:v>
                </c:pt>
                <c:pt idx="151">
                  <c:v>45995</c:v>
                </c:pt>
                <c:pt idx="152">
                  <c:v>45996</c:v>
                </c:pt>
                <c:pt idx="153">
                  <c:v>45999</c:v>
                </c:pt>
                <c:pt idx="154">
                  <c:v>46000</c:v>
                </c:pt>
                <c:pt idx="155">
                  <c:v>46001</c:v>
                </c:pt>
                <c:pt idx="156">
                  <c:v>46002</c:v>
                </c:pt>
                <c:pt idx="157">
                  <c:v>46003</c:v>
                </c:pt>
                <c:pt idx="158">
                  <c:v>46006</c:v>
                </c:pt>
                <c:pt idx="159">
                  <c:v>46007</c:v>
                </c:pt>
                <c:pt idx="160">
                  <c:v>46008</c:v>
                </c:pt>
                <c:pt idx="161">
                  <c:v>46009</c:v>
                </c:pt>
                <c:pt idx="162">
                  <c:v>46010</c:v>
                </c:pt>
                <c:pt idx="163">
                  <c:v>46013</c:v>
                </c:pt>
                <c:pt idx="164">
                  <c:v>46014</c:v>
                </c:pt>
                <c:pt idx="165">
                  <c:v>46020</c:v>
                </c:pt>
                <c:pt idx="166">
                  <c:v>46021</c:v>
                </c:pt>
                <c:pt idx="167">
                  <c:v>46024</c:v>
                </c:pt>
                <c:pt idx="168">
                  <c:v>46027</c:v>
                </c:pt>
                <c:pt idx="169">
                  <c:v>46029</c:v>
                </c:pt>
                <c:pt idx="170">
                  <c:v>46030</c:v>
                </c:pt>
                <c:pt idx="171">
                  <c:v>46031</c:v>
                </c:pt>
                <c:pt idx="172">
                  <c:v>46034</c:v>
                </c:pt>
                <c:pt idx="173">
                  <c:v>46035</c:v>
                </c:pt>
                <c:pt idx="174">
                  <c:v>46036</c:v>
                </c:pt>
                <c:pt idx="175">
                  <c:v>46037</c:v>
                </c:pt>
                <c:pt idx="176">
                  <c:v>46038</c:v>
                </c:pt>
                <c:pt idx="177">
                  <c:v>46041</c:v>
                </c:pt>
                <c:pt idx="178">
                  <c:v>46042</c:v>
                </c:pt>
                <c:pt idx="179">
                  <c:v>46043</c:v>
                </c:pt>
                <c:pt idx="180">
                  <c:v>46044</c:v>
                </c:pt>
                <c:pt idx="181">
                  <c:v>46045</c:v>
                </c:pt>
                <c:pt idx="182">
                  <c:v>46048</c:v>
                </c:pt>
                <c:pt idx="183">
                  <c:v>46049</c:v>
                </c:pt>
                <c:pt idx="184">
                  <c:v>46050</c:v>
                </c:pt>
                <c:pt idx="185">
                  <c:v>46051</c:v>
                </c:pt>
                <c:pt idx="186">
                  <c:v>46052</c:v>
                </c:pt>
                <c:pt idx="187">
                  <c:v>46055</c:v>
                </c:pt>
                <c:pt idx="188">
                  <c:v>46056</c:v>
                </c:pt>
                <c:pt idx="189">
                  <c:v>46057</c:v>
                </c:pt>
                <c:pt idx="190">
                  <c:v>46058</c:v>
                </c:pt>
                <c:pt idx="191">
                  <c:v>46059</c:v>
                </c:pt>
                <c:pt idx="192">
                  <c:v>46062</c:v>
                </c:pt>
                <c:pt idx="193">
                  <c:v>46063</c:v>
                </c:pt>
                <c:pt idx="194">
                  <c:v>46064</c:v>
                </c:pt>
                <c:pt idx="195">
                  <c:v>46065</c:v>
                </c:pt>
                <c:pt idx="196">
                  <c:v>46066</c:v>
                </c:pt>
                <c:pt idx="197">
                  <c:v>46069</c:v>
                </c:pt>
                <c:pt idx="198">
                  <c:v>46070</c:v>
                </c:pt>
                <c:pt idx="199">
                  <c:v>46071</c:v>
                </c:pt>
                <c:pt idx="200">
                  <c:v>46072</c:v>
                </c:pt>
                <c:pt idx="201">
                  <c:v>46073</c:v>
                </c:pt>
                <c:pt idx="202">
                  <c:v>46076</c:v>
                </c:pt>
                <c:pt idx="203">
                  <c:v>46077</c:v>
                </c:pt>
                <c:pt idx="204">
                  <c:v>46078</c:v>
                </c:pt>
                <c:pt idx="205">
                  <c:v>46079</c:v>
                </c:pt>
                <c:pt idx="206">
                  <c:v>46080</c:v>
                </c:pt>
                <c:pt idx="207">
                  <c:v>46083</c:v>
                </c:pt>
                <c:pt idx="208">
                  <c:v>46084</c:v>
                </c:pt>
                <c:pt idx="209">
                  <c:v>46085</c:v>
                </c:pt>
                <c:pt idx="210">
                  <c:v>46086</c:v>
                </c:pt>
                <c:pt idx="211">
                  <c:v>46087</c:v>
                </c:pt>
                <c:pt idx="212">
                  <c:v>46090</c:v>
                </c:pt>
                <c:pt idx="213">
                  <c:v>46091</c:v>
                </c:pt>
                <c:pt idx="214">
                  <c:v>46092</c:v>
                </c:pt>
                <c:pt idx="215">
                  <c:v>46093</c:v>
                </c:pt>
                <c:pt idx="216">
                  <c:v>46094</c:v>
                </c:pt>
                <c:pt idx="217">
                  <c:v>46097</c:v>
                </c:pt>
                <c:pt idx="218">
                  <c:v>46098</c:v>
                </c:pt>
                <c:pt idx="219">
                  <c:v>46099</c:v>
                </c:pt>
                <c:pt idx="220">
                  <c:v>46100</c:v>
                </c:pt>
                <c:pt idx="221">
                  <c:v>46101</c:v>
                </c:pt>
                <c:pt idx="222">
                  <c:v>46104</c:v>
                </c:pt>
                <c:pt idx="223">
                  <c:v>46105</c:v>
                </c:pt>
                <c:pt idx="224">
                  <c:v>46106</c:v>
                </c:pt>
                <c:pt idx="225">
                  <c:v>46107</c:v>
                </c:pt>
                <c:pt idx="226">
                  <c:v>46108</c:v>
                </c:pt>
                <c:pt idx="227">
                  <c:v>46111</c:v>
                </c:pt>
                <c:pt idx="228">
                  <c:v>46112</c:v>
                </c:pt>
                <c:pt idx="229">
                  <c:v>46113</c:v>
                </c:pt>
                <c:pt idx="230">
                  <c:v>46114</c:v>
                </c:pt>
                <c:pt idx="231">
                  <c:v>46119</c:v>
                </c:pt>
                <c:pt idx="232">
                  <c:v>46120</c:v>
                </c:pt>
                <c:pt idx="233">
                  <c:v>46121</c:v>
                </c:pt>
                <c:pt idx="234">
                  <c:v>46122</c:v>
                </c:pt>
              </c:numCache>
            </c:numRef>
          </c:cat>
          <c:val>
            <c:numRef>
              <c:f>obliczenia!$R$6:$R$240</c:f>
              <c:numCache>
                <c:formatCode>General</c:formatCode>
                <c:ptCount val="235"/>
                <c:pt idx="1">
                  <c:v>-2.4288498877784004E-2</c:v>
                </c:pt>
                <c:pt idx="2">
                  <c:v>-2.5230959109584228E-2</c:v>
                </c:pt>
                <c:pt idx="3">
                  <c:v>1.2729986727998568E-2</c:v>
                </c:pt>
                <c:pt idx="4">
                  <c:v>8.3012765920176933E-3</c:v>
                </c:pt>
                <c:pt idx="5">
                  <c:v>3.4694807556242914E-2</c:v>
                </c:pt>
                <c:pt idx="6">
                  <c:v>6.2101150678955819E-3</c:v>
                </c:pt>
                <c:pt idx="7">
                  <c:v>2.9028161800862878E-3</c:v>
                </c:pt>
                <c:pt idx="8">
                  <c:v>-1.6067845793112036E-4</c:v>
                </c:pt>
                <c:pt idx="9">
                  <c:v>-8.402528894643083E-3</c:v>
                </c:pt>
                <c:pt idx="10">
                  <c:v>3.4241440455415016E-3</c:v>
                </c:pt>
                <c:pt idx="11">
                  <c:v>-1.5920346123693405E-2</c:v>
                </c:pt>
                <c:pt idx="12">
                  <c:v>4.5581632516525639E-3</c:v>
                </c:pt>
                <c:pt idx="13">
                  <c:v>-8.2061778527629681E-3</c:v>
                </c:pt>
                <c:pt idx="14">
                  <c:v>-3.3965950644931804E-3</c:v>
                </c:pt>
                <c:pt idx="15">
                  <c:v>-1.2588439559597764E-2</c:v>
                </c:pt>
                <c:pt idx="16">
                  <c:v>3.4019923638763383E-2</c:v>
                </c:pt>
                <c:pt idx="17">
                  <c:v>1.2989385104948313E-2</c:v>
                </c:pt>
                <c:pt idx="18">
                  <c:v>9.4101714620304332E-3</c:v>
                </c:pt>
                <c:pt idx="19">
                  <c:v>-1.738643613900636E-2</c:v>
                </c:pt>
                <c:pt idx="20">
                  <c:v>-1.6867880378401031E-2</c:v>
                </c:pt>
                <c:pt idx="21">
                  <c:v>-1.856523902354807E-2</c:v>
                </c:pt>
                <c:pt idx="22">
                  <c:v>-2.0798838571987121E-2</c:v>
                </c:pt>
                <c:pt idx="23">
                  <c:v>7.213101500130395E-3</c:v>
                </c:pt>
                <c:pt idx="24">
                  <c:v>-2.0555919802962643E-2</c:v>
                </c:pt>
                <c:pt idx="25">
                  <c:v>-1.4376777746354218E-2</c:v>
                </c:pt>
                <c:pt idx="26">
                  <c:v>1.5362181736774536E-2</c:v>
                </c:pt>
                <c:pt idx="27">
                  <c:v>2.2379719662977322E-2</c:v>
                </c:pt>
                <c:pt idx="28">
                  <c:v>-1.3422083229405605E-2</c:v>
                </c:pt>
                <c:pt idx="29">
                  <c:v>-2.8980299718744116E-3</c:v>
                </c:pt>
                <c:pt idx="30">
                  <c:v>-2.1155293894612747E-2</c:v>
                </c:pt>
                <c:pt idx="31">
                  <c:v>1.7903391141891852E-3</c:v>
                </c:pt>
                <c:pt idx="32">
                  <c:v>-8.9658154391422575E-4</c:v>
                </c:pt>
                <c:pt idx="33">
                  <c:v>-7.4402196234723854E-3</c:v>
                </c:pt>
                <c:pt idx="34">
                  <c:v>4.852205119903993E-3</c:v>
                </c:pt>
                <c:pt idx="35">
                  <c:v>-3.3814480449246134E-2</c:v>
                </c:pt>
                <c:pt idx="36">
                  <c:v>5.2808880936163899E-2</c:v>
                </c:pt>
                <c:pt idx="37">
                  <c:v>-1.3728661646128026E-2</c:v>
                </c:pt>
                <c:pt idx="38">
                  <c:v>1.9611484686159131E-2</c:v>
                </c:pt>
                <c:pt idx="39">
                  <c:v>8.0001088376752821E-3</c:v>
                </c:pt>
                <c:pt idx="40">
                  <c:v>2.4134063135997186E-2</c:v>
                </c:pt>
                <c:pt idx="41">
                  <c:v>-1.070135678494055E-2</c:v>
                </c:pt>
                <c:pt idx="42">
                  <c:v>3.5535977768593975E-3</c:v>
                </c:pt>
                <c:pt idx="43">
                  <c:v>3.4795486195755398E-2</c:v>
                </c:pt>
                <c:pt idx="44">
                  <c:v>-1.7824222314992946E-2</c:v>
                </c:pt>
                <c:pt idx="45">
                  <c:v>4.6266286489570893E-3</c:v>
                </c:pt>
                <c:pt idx="46">
                  <c:v>1.4086051072478484E-2</c:v>
                </c:pt>
                <c:pt idx="47">
                  <c:v>4.0391399081091978E-3</c:v>
                </c:pt>
                <c:pt idx="48">
                  <c:v>-2.9580374004988731E-2</c:v>
                </c:pt>
                <c:pt idx="49">
                  <c:v>-5.3270593980655652E-3</c:v>
                </c:pt>
                <c:pt idx="50">
                  <c:v>2.9999249132516169E-3</c:v>
                </c:pt>
                <c:pt idx="51">
                  <c:v>-1.9303233233697763E-3</c:v>
                </c:pt>
                <c:pt idx="52">
                  <c:v>6.0384289293042058E-3</c:v>
                </c:pt>
                <c:pt idx="53">
                  <c:v>3.3380789112141263E-2</c:v>
                </c:pt>
                <c:pt idx="54">
                  <c:v>2.7792118272973829E-2</c:v>
                </c:pt>
                <c:pt idx="55">
                  <c:v>-7.0653543169546138E-3</c:v>
                </c:pt>
                <c:pt idx="56">
                  <c:v>-1.0762375746821071E-2</c:v>
                </c:pt>
                <c:pt idx="57">
                  <c:v>8.0712642646390935E-3</c:v>
                </c:pt>
                <c:pt idx="58">
                  <c:v>2.3668944725519784E-2</c:v>
                </c:pt>
                <c:pt idx="59">
                  <c:v>9.2371214826541276E-3</c:v>
                </c:pt>
                <c:pt idx="60">
                  <c:v>-1.8557469608651372E-2</c:v>
                </c:pt>
                <c:pt idx="61">
                  <c:v>1.8990331166837088E-2</c:v>
                </c:pt>
                <c:pt idx="62">
                  <c:v>7.1616500282628975E-3</c:v>
                </c:pt>
                <c:pt idx="63">
                  <c:v>-3.4018670884683475E-3</c:v>
                </c:pt>
                <c:pt idx="64">
                  <c:v>-2.5600406400353121E-2</c:v>
                </c:pt>
                <c:pt idx="65">
                  <c:v>2.0279780175637811E-2</c:v>
                </c:pt>
                <c:pt idx="66">
                  <c:v>-1.4037250760385029E-2</c:v>
                </c:pt>
                <c:pt idx="67">
                  <c:v>4.713270252602432E-2</c:v>
                </c:pt>
                <c:pt idx="68">
                  <c:v>4.4606385305067699E-2</c:v>
                </c:pt>
                <c:pt idx="69">
                  <c:v>1.8744788883806686E-2</c:v>
                </c:pt>
                <c:pt idx="70">
                  <c:v>4.2691699694473026E-3</c:v>
                </c:pt>
                <c:pt idx="71">
                  <c:v>8.8620963135298114E-3</c:v>
                </c:pt>
                <c:pt idx="72">
                  <c:v>6.0879169160487391E-3</c:v>
                </c:pt>
                <c:pt idx="73">
                  <c:v>-1.5512697042297425E-2</c:v>
                </c:pt>
                <c:pt idx="74">
                  <c:v>-3.4216096290565201E-4</c:v>
                </c:pt>
                <c:pt idx="75">
                  <c:v>8.6232325664202612E-3</c:v>
                </c:pt>
                <c:pt idx="76">
                  <c:v>-7.0148290571455003E-3</c:v>
                </c:pt>
                <c:pt idx="77">
                  <c:v>1.0501831350189283E-2</c:v>
                </c:pt>
                <c:pt idx="78">
                  <c:v>-9.5276632061593536E-2</c:v>
                </c:pt>
                <c:pt idx="79">
                  <c:v>1.5715966129953393E-2</c:v>
                </c:pt>
                <c:pt idx="80">
                  <c:v>5.8812989091756402E-3</c:v>
                </c:pt>
                <c:pt idx="81">
                  <c:v>-2.4479386037100492E-2</c:v>
                </c:pt>
                <c:pt idx="82">
                  <c:v>-6.447226134600928E-3</c:v>
                </c:pt>
                <c:pt idx="83">
                  <c:v>-2.6704706743795444E-2</c:v>
                </c:pt>
                <c:pt idx="84">
                  <c:v>-1.0108755745707564E-2</c:v>
                </c:pt>
                <c:pt idx="85">
                  <c:v>6.2235771508278121E-4</c:v>
                </c:pt>
                <c:pt idx="86">
                  <c:v>-7.509956205530913E-4</c:v>
                </c:pt>
                <c:pt idx="87">
                  <c:v>2.6796719561723241E-2</c:v>
                </c:pt>
                <c:pt idx="88">
                  <c:v>-1.9851520530927383E-2</c:v>
                </c:pt>
                <c:pt idx="89">
                  <c:v>2.9685716302200765E-2</c:v>
                </c:pt>
                <c:pt idx="90">
                  <c:v>-1.1782912645208352E-2</c:v>
                </c:pt>
                <c:pt idx="91">
                  <c:v>-1.7738215471487868E-2</c:v>
                </c:pt>
                <c:pt idx="92">
                  <c:v>2.2551720816628245E-2</c:v>
                </c:pt>
                <c:pt idx="93">
                  <c:v>-9.7396768869178942E-3</c:v>
                </c:pt>
                <c:pt idx="94">
                  <c:v>1.731937475905259E-2</c:v>
                </c:pt>
                <c:pt idx="95">
                  <c:v>-2.1885171098498725E-2</c:v>
                </c:pt>
                <c:pt idx="96">
                  <c:v>-1.5157362902936855E-3</c:v>
                </c:pt>
                <c:pt idx="97">
                  <c:v>8.6669654438812013E-3</c:v>
                </c:pt>
                <c:pt idx="98">
                  <c:v>1.6657149502352772E-4</c:v>
                </c:pt>
                <c:pt idx="99">
                  <c:v>-2.3204187045778715E-2</c:v>
                </c:pt>
                <c:pt idx="100">
                  <c:v>1.0669239761655267E-2</c:v>
                </c:pt>
                <c:pt idx="101">
                  <c:v>-4.3359130558641495E-3</c:v>
                </c:pt>
                <c:pt idx="102">
                  <c:v>-2.3171923743412322E-2</c:v>
                </c:pt>
                <c:pt idx="103">
                  <c:v>2.9011508396035442E-2</c:v>
                </c:pt>
                <c:pt idx="104">
                  <c:v>-5.8691907481731621E-3</c:v>
                </c:pt>
                <c:pt idx="105">
                  <c:v>-1.2266902629982034E-3</c:v>
                </c:pt>
                <c:pt idx="106">
                  <c:v>1.1071046305505112E-2</c:v>
                </c:pt>
                <c:pt idx="107">
                  <c:v>2.2922198924221433E-2</c:v>
                </c:pt>
                <c:pt idx="108">
                  <c:v>3.2910974452743185E-4</c:v>
                </c:pt>
                <c:pt idx="109">
                  <c:v>-2.1899537330115945E-2</c:v>
                </c:pt>
                <c:pt idx="110">
                  <c:v>1.6424589989940352E-2</c:v>
                </c:pt>
                <c:pt idx="111">
                  <c:v>-5.8648740144854987E-3</c:v>
                </c:pt>
                <c:pt idx="112">
                  <c:v>7.8997062829623335E-3</c:v>
                </c:pt>
                <c:pt idx="113">
                  <c:v>3.518066047672865E-3</c:v>
                </c:pt>
                <c:pt idx="114">
                  <c:v>-8.7875181080294233E-3</c:v>
                </c:pt>
                <c:pt idx="115">
                  <c:v>-4.0080123848472834E-3</c:v>
                </c:pt>
                <c:pt idx="116">
                  <c:v>2.4720815585508718E-2</c:v>
                </c:pt>
                <c:pt idx="117">
                  <c:v>-1.2142562345961085E-2</c:v>
                </c:pt>
                <c:pt idx="118">
                  <c:v>-1.2758724061784415E-2</c:v>
                </c:pt>
                <c:pt idx="119">
                  <c:v>2.1398704352988875E-2</c:v>
                </c:pt>
                <c:pt idx="120">
                  <c:v>8.9264888843275225E-3</c:v>
                </c:pt>
                <c:pt idx="121">
                  <c:v>1.9570637343278206E-2</c:v>
                </c:pt>
                <c:pt idx="122">
                  <c:v>3.7128535334617699E-3</c:v>
                </c:pt>
                <c:pt idx="123">
                  <c:v>-3.3544154652837572E-3</c:v>
                </c:pt>
                <c:pt idx="124">
                  <c:v>7.0225097533834734E-3</c:v>
                </c:pt>
                <c:pt idx="125">
                  <c:v>3.0792042892149121E-2</c:v>
                </c:pt>
                <c:pt idx="126">
                  <c:v>-9.7945082171271998E-4</c:v>
                </c:pt>
                <c:pt idx="127">
                  <c:v>-2.4156710708652704E-2</c:v>
                </c:pt>
                <c:pt idx="128">
                  <c:v>-3.082360482196829E-2</c:v>
                </c:pt>
                <c:pt idx="129">
                  <c:v>2.2442732685357559E-2</c:v>
                </c:pt>
                <c:pt idx="130">
                  <c:v>-4.3636704822889684E-3</c:v>
                </c:pt>
                <c:pt idx="131">
                  <c:v>-1.2779673195781577E-2</c:v>
                </c:pt>
                <c:pt idx="132">
                  <c:v>9.5538841899792688E-3</c:v>
                </c:pt>
                <c:pt idx="133">
                  <c:v>1.0539981495382513E-2</c:v>
                </c:pt>
                <c:pt idx="134">
                  <c:v>9.3230856212495501E-3</c:v>
                </c:pt>
                <c:pt idx="135">
                  <c:v>3.1722461016414141E-3</c:v>
                </c:pt>
                <c:pt idx="136">
                  <c:v>1.8525939498339852E-3</c:v>
                </c:pt>
                <c:pt idx="137">
                  <c:v>-9.4803778698193675E-3</c:v>
                </c:pt>
                <c:pt idx="138">
                  <c:v>-9.6643625127669358E-3</c:v>
                </c:pt>
                <c:pt idx="139">
                  <c:v>-1.6798193451526174E-2</c:v>
                </c:pt>
                <c:pt idx="140">
                  <c:v>2.35419987398914E-2</c:v>
                </c:pt>
                <c:pt idx="141">
                  <c:v>-5.7773664001782576E-3</c:v>
                </c:pt>
                <c:pt idx="142">
                  <c:v>-1.5939359184997288E-2</c:v>
                </c:pt>
                <c:pt idx="143">
                  <c:v>6.911587621865241E-3</c:v>
                </c:pt>
                <c:pt idx="144">
                  <c:v>1.041489044461889E-2</c:v>
                </c:pt>
                <c:pt idx="145">
                  <c:v>2.0029728484751833E-2</c:v>
                </c:pt>
                <c:pt idx="146">
                  <c:v>-3.9853416740133017E-3</c:v>
                </c:pt>
                <c:pt idx="147">
                  <c:v>-6.2263625720173641E-3</c:v>
                </c:pt>
                <c:pt idx="148">
                  <c:v>1.7404003081274611E-3</c:v>
                </c:pt>
                <c:pt idx="149">
                  <c:v>-1.9778249489505986E-2</c:v>
                </c:pt>
                <c:pt idx="150">
                  <c:v>-5.5762069056305786E-3</c:v>
                </c:pt>
                <c:pt idx="151">
                  <c:v>4.6355708596048529E-3</c:v>
                </c:pt>
                <c:pt idx="152">
                  <c:v>-3.3842827896554874E-3</c:v>
                </c:pt>
                <c:pt idx="153">
                  <c:v>4.6974906567165131E-3</c:v>
                </c:pt>
                <c:pt idx="154">
                  <c:v>1.8432607835044051E-2</c:v>
                </c:pt>
                <c:pt idx="155">
                  <c:v>1.1552350065064461E-3</c:v>
                </c:pt>
                <c:pt idx="156">
                  <c:v>1.3464080823227295E-2</c:v>
                </c:pt>
                <c:pt idx="157">
                  <c:v>1.27930364141576E-3</c:v>
                </c:pt>
                <c:pt idx="158">
                  <c:v>2.1427481785361746E-2</c:v>
                </c:pt>
                <c:pt idx="159">
                  <c:v>-9.7881337585727646E-3</c:v>
                </c:pt>
                <c:pt idx="160">
                  <c:v>-9.3926385658776902E-3</c:v>
                </c:pt>
                <c:pt idx="161">
                  <c:v>5.9585869628657464E-3</c:v>
                </c:pt>
                <c:pt idx="162">
                  <c:v>2.7531842246186662E-2</c:v>
                </c:pt>
                <c:pt idx="163">
                  <c:v>5.394558466749554E-4</c:v>
                </c:pt>
                <c:pt idx="164">
                  <c:v>-2.4463564105058969E-3</c:v>
                </c:pt>
                <c:pt idx="165">
                  <c:v>-4.376641931772186E-3</c:v>
                </c:pt>
                <c:pt idx="166">
                  <c:v>4.9617096434853101E-3</c:v>
                </c:pt>
                <c:pt idx="167">
                  <c:v>3.2484027887652693E-2</c:v>
                </c:pt>
                <c:pt idx="168">
                  <c:v>-1.2431724106046255E-2</c:v>
                </c:pt>
                <c:pt idx="169">
                  <c:v>1.6887663770498544E-2</c:v>
                </c:pt>
                <c:pt idx="170">
                  <c:v>-2.1900540455359815E-2</c:v>
                </c:pt>
                <c:pt idx="171">
                  <c:v>-5.6274923786754985E-3</c:v>
                </c:pt>
                <c:pt idx="172">
                  <c:v>8.7375786481552701E-3</c:v>
                </c:pt>
                <c:pt idx="173">
                  <c:v>-1.0417035495800558E-2</c:v>
                </c:pt>
                <c:pt idx="174">
                  <c:v>-1.855522256003345E-2</c:v>
                </c:pt>
                <c:pt idx="175">
                  <c:v>2.3475009278810769E-3</c:v>
                </c:pt>
                <c:pt idx="176">
                  <c:v>-5.0578843361537259E-3</c:v>
                </c:pt>
                <c:pt idx="177">
                  <c:v>-4.6546881859014589E-3</c:v>
                </c:pt>
                <c:pt idx="178">
                  <c:v>3.0170654191952629E-3</c:v>
                </c:pt>
                <c:pt idx="179">
                  <c:v>-3.1326789391302907E-3</c:v>
                </c:pt>
                <c:pt idx="180">
                  <c:v>2.7947007890788567E-2</c:v>
                </c:pt>
                <c:pt idx="181">
                  <c:v>-1.8560526127481412E-2</c:v>
                </c:pt>
                <c:pt idx="182">
                  <c:v>1.5080908552822899E-2</c:v>
                </c:pt>
                <c:pt idx="183">
                  <c:v>1.6050303869330186E-2</c:v>
                </c:pt>
                <c:pt idx="184">
                  <c:v>-8.843718299402328E-3</c:v>
                </c:pt>
                <c:pt idx="185">
                  <c:v>-1.4017857039694019E-2</c:v>
                </c:pt>
                <c:pt idx="186">
                  <c:v>2.305977369899076E-2</c:v>
                </c:pt>
                <c:pt idx="187">
                  <c:v>1.7357406040366938E-2</c:v>
                </c:pt>
                <c:pt idx="188">
                  <c:v>4.4596524324279171E-2</c:v>
                </c:pt>
                <c:pt idx="189">
                  <c:v>-3.2672266634541135E-3</c:v>
                </c:pt>
                <c:pt idx="190">
                  <c:v>-2.1605032130080581E-2</c:v>
                </c:pt>
                <c:pt idx="191">
                  <c:v>1.5034139010108335E-3</c:v>
                </c:pt>
                <c:pt idx="192">
                  <c:v>1.6587884864927752E-2</c:v>
                </c:pt>
                <c:pt idx="193">
                  <c:v>-8.4126856210096253E-3</c:v>
                </c:pt>
                <c:pt idx="194">
                  <c:v>-1.04729199904773E-2</c:v>
                </c:pt>
                <c:pt idx="195">
                  <c:v>6.7502362918574485E-3</c:v>
                </c:pt>
                <c:pt idx="196">
                  <c:v>-4.1197320288068287E-2</c:v>
                </c:pt>
                <c:pt idx="197">
                  <c:v>6.9936232393892506E-3</c:v>
                </c:pt>
                <c:pt idx="198">
                  <c:v>3.8822743784774532E-3</c:v>
                </c:pt>
                <c:pt idx="199">
                  <c:v>1.4127785408947118E-2</c:v>
                </c:pt>
                <c:pt idx="200">
                  <c:v>2.8668980210458019E-3</c:v>
                </c:pt>
                <c:pt idx="201">
                  <c:v>5.2602994071042301E-3</c:v>
                </c:pt>
                <c:pt idx="202">
                  <c:v>1.1126899250445126E-2</c:v>
                </c:pt>
                <c:pt idx="203">
                  <c:v>-1.9368416719353118E-2</c:v>
                </c:pt>
                <c:pt idx="204">
                  <c:v>1.223929433767461E-2</c:v>
                </c:pt>
                <c:pt idx="205">
                  <c:v>-6.9868679267040034E-3</c:v>
                </c:pt>
                <c:pt idx="206">
                  <c:v>-1.5255656829049178E-2</c:v>
                </c:pt>
                <c:pt idx="207">
                  <c:v>-2.9689207671476363E-2</c:v>
                </c:pt>
                <c:pt idx="208">
                  <c:v>-5.3545523305798814E-2</c:v>
                </c:pt>
                <c:pt idx="209">
                  <c:v>3.156852542493549E-2</c:v>
                </c:pt>
                <c:pt idx="210">
                  <c:v>-1.1777959198815983E-3</c:v>
                </c:pt>
                <c:pt idx="211">
                  <c:v>-3.5024694824293615E-2</c:v>
                </c:pt>
                <c:pt idx="212">
                  <c:v>1.7339163404203474E-3</c:v>
                </c:pt>
                <c:pt idx="213">
                  <c:v>2.7011751529634757E-2</c:v>
                </c:pt>
                <c:pt idx="214">
                  <c:v>-3.2288480878030759E-3</c:v>
                </c:pt>
                <c:pt idx="215">
                  <c:v>-1.0610831202568321E-2</c:v>
                </c:pt>
                <c:pt idx="216">
                  <c:v>-2.5197974127525954E-4</c:v>
                </c:pt>
                <c:pt idx="217">
                  <c:v>2.3947421485420214E-2</c:v>
                </c:pt>
                <c:pt idx="218">
                  <c:v>2.627293864780067E-2</c:v>
                </c:pt>
                <c:pt idx="219">
                  <c:v>-1.0286073443595541E-3</c:v>
                </c:pt>
                <c:pt idx="220">
                  <c:v>-1.1371335299755236E-2</c:v>
                </c:pt>
                <c:pt idx="221">
                  <c:v>-1.7577280023382887E-2</c:v>
                </c:pt>
                <c:pt idx="222">
                  <c:v>2.0734979068890054E-2</c:v>
                </c:pt>
                <c:pt idx="223">
                  <c:v>-1.4666493322760906E-2</c:v>
                </c:pt>
                <c:pt idx="224">
                  <c:v>2.0270405491113232E-2</c:v>
                </c:pt>
                <c:pt idx="225">
                  <c:v>-1.1757297539980757E-3</c:v>
                </c:pt>
                <c:pt idx="226">
                  <c:v>6.4214632070969356E-3</c:v>
                </c:pt>
                <c:pt idx="227">
                  <c:v>-9.6376909687864304E-3</c:v>
                </c:pt>
                <c:pt idx="228">
                  <c:v>1.366793759284309E-2</c:v>
                </c:pt>
                <c:pt idx="229">
                  <c:v>4.5070540049116675E-2</c:v>
                </c:pt>
                <c:pt idx="230">
                  <c:v>5.4659878086591234E-3</c:v>
                </c:pt>
                <c:pt idx="231">
                  <c:v>-8.9442932162644561E-4</c:v>
                </c:pt>
                <c:pt idx="232">
                  <c:v>7.4985164512325841E-2</c:v>
                </c:pt>
                <c:pt idx="233">
                  <c:v>-7.0304085500370872E-3</c:v>
                </c:pt>
                <c:pt idx="234">
                  <c:v>2.8246819383644622E-2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9A-451E-82DF-63C72F4D557B}"/>
            </c:ext>
          </c:extLst>
        </c:ser>
        <c:ser>
          <c:idx val="0"/>
          <c:order val="1"/>
          <c:tx>
            <c:strRef>
              <c:f>obliczenia!$Q$5</c:f>
              <c:strCache>
                <c:ptCount val="1"/>
                <c:pt idx="0">
                  <c:v>Portfel A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obliczenia!$P$6:$P$240</c:f>
              <c:numCache>
                <c:formatCode>m/d/yyyy</c:formatCode>
                <c:ptCount val="235"/>
                <c:pt idx="0">
                  <c:v>45779</c:v>
                </c:pt>
                <c:pt idx="1">
                  <c:v>45782</c:v>
                </c:pt>
                <c:pt idx="2">
                  <c:v>45783</c:v>
                </c:pt>
                <c:pt idx="3">
                  <c:v>45784</c:v>
                </c:pt>
                <c:pt idx="4">
                  <c:v>45785</c:v>
                </c:pt>
                <c:pt idx="5">
                  <c:v>45786</c:v>
                </c:pt>
                <c:pt idx="6">
                  <c:v>45789</c:v>
                </c:pt>
                <c:pt idx="7">
                  <c:v>45790</c:v>
                </c:pt>
                <c:pt idx="8">
                  <c:v>45791</c:v>
                </c:pt>
                <c:pt idx="9">
                  <c:v>45792</c:v>
                </c:pt>
                <c:pt idx="10">
                  <c:v>45793</c:v>
                </c:pt>
                <c:pt idx="11">
                  <c:v>45796</c:v>
                </c:pt>
                <c:pt idx="12">
                  <c:v>45797</c:v>
                </c:pt>
                <c:pt idx="13">
                  <c:v>45798</c:v>
                </c:pt>
                <c:pt idx="14">
                  <c:v>45799</c:v>
                </c:pt>
                <c:pt idx="15">
                  <c:v>45800</c:v>
                </c:pt>
                <c:pt idx="16">
                  <c:v>45803</c:v>
                </c:pt>
                <c:pt idx="17">
                  <c:v>45804</c:v>
                </c:pt>
                <c:pt idx="18">
                  <c:v>45805</c:v>
                </c:pt>
                <c:pt idx="19">
                  <c:v>45806</c:v>
                </c:pt>
                <c:pt idx="20">
                  <c:v>45807</c:v>
                </c:pt>
                <c:pt idx="21">
                  <c:v>45810</c:v>
                </c:pt>
                <c:pt idx="22">
                  <c:v>45811</c:v>
                </c:pt>
                <c:pt idx="23">
                  <c:v>45812</c:v>
                </c:pt>
                <c:pt idx="24">
                  <c:v>45813</c:v>
                </c:pt>
                <c:pt idx="25">
                  <c:v>45814</c:v>
                </c:pt>
                <c:pt idx="26">
                  <c:v>45817</c:v>
                </c:pt>
                <c:pt idx="27">
                  <c:v>45818</c:v>
                </c:pt>
                <c:pt idx="28">
                  <c:v>45819</c:v>
                </c:pt>
                <c:pt idx="29">
                  <c:v>45820</c:v>
                </c:pt>
                <c:pt idx="30">
                  <c:v>45821</c:v>
                </c:pt>
                <c:pt idx="31">
                  <c:v>45824</c:v>
                </c:pt>
                <c:pt idx="32">
                  <c:v>45825</c:v>
                </c:pt>
                <c:pt idx="33">
                  <c:v>45826</c:v>
                </c:pt>
                <c:pt idx="34">
                  <c:v>45828</c:v>
                </c:pt>
                <c:pt idx="35">
                  <c:v>45831</c:v>
                </c:pt>
                <c:pt idx="36">
                  <c:v>45832</c:v>
                </c:pt>
                <c:pt idx="37">
                  <c:v>45833</c:v>
                </c:pt>
                <c:pt idx="38">
                  <c:v>45834</c:v>
                </c:pt>
                <c:pt idx="39">
                  <c:v>45835</c:v>
                </c:pt>
                <c:pt idx="40">
                  <c:v>45838</c:v>
                </c:pt>
                <c:pt idx="41">
                  <c:v>45839</c:v>
                </c:pt>
                <c:pt idx="42">
                  <c:v>45840</c:v>
                </c:pt>
                <c:pt idx="43">
                  <c:v>45841</c:v>
                </c:pt>
                <c:pt idx="44">
                  <c:v>45842</c:v>
                </c:pt>
                <c:pt idx="45">
                  <c:v>45845</c:v>
                </c:pt>
                <c:pt idx="46">
                  <c:v>45846</c:v>
                </c:pt>
                <c:pt idx="47">
                  <c:v>45847</c:v>
                </c:pt>
                <c:pt idx="48">
                  <c:v>45848</c:v>
                </c:pt>
                <c:pt idx="49">
                  <c:v>45849</c:v>
                </c:pt>
                <c:pt idx="50">
                  <c:v>45852</c:v>
                </c:pt>
                <c:pt idx="51">
                  <c:v>45853</c:v>
                </c:pt>
                <c:pt idx="52">
                  <c:v>45854</c:v>
                </c:pt>
                <c:pt idx="53">
                  <c:v>45855</c:v>
                </c:pt>
                <c:pt idx="54">
                  <c:v>45856</c:v>
                </c:pt>
                <c:pt idx="55">
                  <c:v>45859</c:v>
                </c:pt>
                <c:pt idx="56">
                  <c:v>45860</c:v>
                </c:pt>
                <c:pt idx="57">
                  <c:v>45861</c:v>
                </c:pt>
                <c:pt idx="58">
                  <c:v>45862</c:v>
                </c:pt>
                <c:pt idx="59">
                  <c:v>45863</c:v>
                </c:pt>
                <c:pt idx="60">
                  <c:v>45866</c:v>
                </c:pt>
                <c:pt idx="61">
                  <c:v>45867</c:v>
                </c:pt>
                <c:pt idx="62">
                  <c:v>45868</c:v>
                </c:pt>
                <c:pt idx="63">
                  <c:v>45869</c:v>
                </c:pt>
                <c:pt idx="64">
                  <c:v>45870</c:v>
                </c:pt>
                <c:pt idx="65">
                  <c:v>45873</c:v>
                </c:pt>
                <c:pt idx="66">
                  <c:v>45874</c:v>
                </c:pt>
                <c:pt idx="67">
                  <c:v>45875</c:v>
                </c:pt>
                <c:pt idx="68">
                  <c:v>45876</c:v>
                </c:pt>
                <c:pt idx="69">
                  <c:v>45877</c:v>
                </c:pt>
                <c:pt idx="70">
                  <c:v>45880</c:v>
                </c:pt>
                <c:pt idx="71">
                  <c:v>45881</c:v>
                </c:pt>
                <c:pt idx="72">
                  <c:v>45882</c:v>
                </c:pt>
                <c:pt idx="73">
                  <c:v>45883</c:v>
                </c:pt>
                <c:pt idx="74">
                  <c:v>45887</c:v>
                </c:pt>
                <c:pt idx="75">
                  <c:v>45888</c:v>
                </c:pt>
                <c:pt idx="76">
                  <c:v>45889</c:v>
                </c:pt>
                <c:pt idx="77">
                  <c:v>45890</c:v>
                </c:pt>
                <c:pt idx="78">
                  <c:v>45891</c:v>
                </c:pt>
                <c:pt idx="79">
                  <c:v>45894</c:v>
                </c:pt>
                <c:pt idx="80">
                  <c:v>45895</c:v>
                </c:pt>
                <c:pt idx="81">
                  <c:v>45896</c:v>
                </c:pt>
                <c:pt idx="82">
                  <c:v>45897</c:v>
                </c:pt>
                <c:pt idx="83">
                  <c:v>45898</c:v>
                </c:pt>
                <c:pt idx="84">
                  <c:v>45901</c:v>
                </c:pt>
                <c:pt idx="85">
                  <c:v>45902</c:v>
                </c:pt>
                <c:pt idx="86">
                  <c:v>45903</c:v>
                </c:pt>
                <c:pt idx="87">
                  <c:v>45904</c:v>
                </c:pt>
                <c:pt idx="88">
                  <c:v>45905</c:v>
                </c:pt>
                <c:pt idx="89">
                  <c:v>45908</c:v>
                </c:pt>
                <c:pt idx="90">
                  <c:v>45909</c:v>
                </c:pt>
                <c:pt idx="91">
                  <c:v>45910</c:v>
                </c:pt>
                <c:pt idx="92">
                  <c:v>45911</c:v>
                </c:pt>
                <c:pt idx="93">
                  <c:v>45912</c:v>
                </c:pt>
                <c:pt idx="94">
                  <c:v>45915</c:v>
                </c:pt>
                <c:pt idx="95">
                  <c:v>45916</c:v>
                </c:pt>
                <c:pt idx="96">
                  <c:v>45917</c:v>
                </c:pt>
                <c:pt idx="97">
                  <c:v>45918</c:v>
                </c:pt>
                <c:pt idx="98">
                  <c:v>45919</c:v>
                </c:pt>
                <c:pt idx="99">
                  <c:v>45922</c:v>
                </c:pt>
                <c:pt idx="100">
                  <c:v>45923</c:v>
                </c:pt>
                <c:pt idx="101">
                  <c:v>45924</c:v>
                </c:pt>
                <c:pt idx="102">
                  <c:v>45925</c:v>
                </c:pt>
                <c:pt idx="103">
                  <c:v>45926</c:v>
                </c:pt>
                <c:pt idx="104">
                  <c:v>45929</c:v>
                </c:pt>
                <c:pt idx="105">
                  <c:v>45930</c:v>
                </c:pt>
                <c:pt idx="106">
                  <c:v>45931</c:v>
                </c:pt>
                <c:pt idx="107">
                  <c:v>45932</c:v>
                </c:pt>
                <c:pt idx="108">
                  <c:v>45933</c:v>
                </c:pt>
                <c:pt idx="109">
                  <c:v>45936</c:v>
                </c:pt>
                <c:pt idx="110">
                  <c:v>45937</c:v>
                </c:pt>
                <c:pt idx="111">
                  <c:v>45938</c:v>
                </c:pt>
                <c:pt idx="112">
                  <c:v>45939</c:v>
                </c:pt>
                <c:pt idx="113">
                  <c:v>45940</c:v>
                </c:pt>
                <c:pt idx="114">
                  <c:v>45943</c:v>
                </c:pt>
                <c:pt idx="115">
                  <c:v>45944</c:v>
                </c:pt>
                <c:pt idx="116">
                  <c:v>45945</c:v>
                </c:pt>
                <c:pt idx="117">
                  <c:v>45946</c:v>
                </c:pt>
                <c:pt idx="118">
                  <c:v>45947</c:v>
                </c:pt>
                <c:pt idx="119">
                  <c:v>45950</c:v>
                </c:pt>
                <c:pt idx="120">
                  <c:v>45951</c:v>
                </c:pt>
                <c:pt idx="121">
                  <c:v>45952</c:v>
                </c:pt>
                <c:pt idx="122">
                  <c:v>45953</c:v>
                </c:pt>
                <c:pt idx="123">
                  <c:v>45954</c:v>
                </c:pt>
                <c:pt idx="124">
                  <c:v>45957</c:v>
                </c:pt>
                <c:pt idx="125">
                  <c:v>45958</c:v>
                </c:pt>
                <c:pt idx="126">
                  <c:v>45959</c:v>
                </c:pt>
                <c:pt idx="127">
                  <c:v>45960</c:v>
                </c:pt>
                <c:pt idx="128">
                  <c:v>45961</c:v>
                </c:pt>
                <c:pt idx="129">
                  <c:v>45964</c:v>
                </c:pt>
                <c:pt idx="130">
                  <c:v>45965</c:v>
                </c:pt>
                <c:pt idx="131">
                  <c:v>45966</c:v>
                </c:pt>
                <c:pt idx="132">
                  <c:v>45967</c:v>
                </c:pt>
                <c:pt idx="133">
                  <c:v>45968</c:v>
                </c:pt>
                <c:pt idx="134">
                  <c:v>45971</c:v>
                </c:pt>
                <c:pt idx="135">
                  <c:v>45973</c:v>
                </c:pt>
                <c:pt idx="136">
                  <c:v>45974</c:v>
                </c:pt>
                <c:pt idx="137">
                  <c:v>45975</c:v>
                </c:pt>
                <c:pt idx="138">
                  <c:v>45978</c:v>
                </c:pt>
                <c:pt idx="139">
                  <c:v>45979</c:v>
                </c:pt>
                <c:pt idx="140">
                  <c:v>45980</c:v>
                </c:pt>
                <c:pt idx="141">
                  <c:v>45981</c:v>
                </c:pt>
                <c:pt idx="142">
                  <c:v>45982</c:v>
                </c:pt>
                <c:pt idx="143">
                  <c:v>45985</c:v>
                </c:pt>
                <c:pt idx="144">
                  <c:v>45986</c:v>
                </c:pt>
                <c:pt idx="145">
                  <c:v>45987</c:v>
                </c:pt>
                <c:pt idx="146">
                  <c:v>45988</c:v>
                </c:pt>
                <c:pt idx="147">
                  <c:v>45989</c:v>
                </c:pt>
                <c:pt idx="148">
                  <c:v>45992</c:v>
                </c:pt>
                <c:pt idx="149">
                  <c:v>45993</c:v>
                </c:pt>
                <c:pt idx="150">
                  <c:v>45994</c:v>
                </c:pt>
                <c:pt idx="151">
                  <c:v>45995</c:v>
                </c:pt>
                <c:pt idx="152">
                  <c:v>45996</c:v>
                </c:pt>
                <c:pt idx="153">
                  <c:v>45999</c:v>
                </c:pt>
                <c:pt idx="154">
                  <c:v>46000</c:v>
                </c:pt>
                <c:pt idx="155">
                  <c:v>46001</c:v>
                </c:pt>
                <c:pt idx="156">
                  <c:v>46002</c:v>
                </c:pt>
                <c:pt idx="157">
                  <c:v>46003</c:v>
                </c:pt>
                <c:pt idx="158">
                  <c:v>46006</c:v>
                </c:pt>
                <c:pt idx="159">
                  <c:v>46007</c:v>
                </c:pt>
                <c:pt idx="160">
                  <c:v>46008</c:v>
                </c:pt>
                <c:pt idx="161">
                  <c:v>46009</c:v>
                </c:pt>
                <c:pt idx="162">
                  <c:v>46010</c:v>
                </c:pt>
                <c:pt idx="163">
                  <c:v>46013</c:v>
                </c:pt>
                <c:pt idx="164">
                  <c:v>46014</c:v>
                </c:pt>
                <c:pt idx="165">
                  <c:v>46020</c:v>
                </c:pt>
                <c:pt idx="166">
                  <c:v>46021</c:v>
                </c:pt>
                <c:pt idx="167">
                  <c:v>46024</c:v>
                </c:pt>
                <c:pt idx="168">
                  <c:v>46027</c:v>
                </c:pt>
                <c:pt idx="169">
                  <c:v>46029</c:v>
                </c:pt>
                <c:pt idx="170">
                  <c:v>46030</c:v>
                </c:pt>
                <c:pt idx="171">
                  <c:v>46031</c:v>
                </c:pt>
                <c:pt idx="172">
                  <c:v>46034</c:v>
                </c:pt>
                <c:pt idx="173">
                  <c:v>46035</c:v>
                </c:pt>
                <c:pt idx="174">
                  <c:v>46036</c:v>
                </c:pt>
                <c:pt idx="175">
                  <c:v>46037</c:v>
                </c:pt>
                <c:pt idx="176">
                  <c:v>46038</c:v>
                </c:pt>
                <c:pt idx="177">
                  <c:v>46041</c:v>
                </c:pt>
                <c:pt idx="178">
                  <c:v>46042</c:v>
                </c:pt>
                <c:pt idx="179">
                  <c:v>46043</c:v>
                </c:pt>
                <c:pt idx="180">
                  <c:v>46044</c:v>
                </c:pt>
                <c:pt idx="181">
                  <c:v>46045</c:v>
                </c:pt>
                <c:pt idx="182">
                  <c:v>46048</c:v>
                </c:pt>
                <c:pt idx="183">
                  <c:v>46049</c:v>
                </c:pt>
                <c:pt idx="184">
                  <c:v>46050</c:v>
                </c:pt>
                <c:pt idx="185">
                  <c:v>46051</c:v>
                </c:pt>
                <c:pt idx="186">
                  <c:v>46052</c:v>
                </c:pt>
                <c:pt idx="187">
                  <c:v>46055</c:v>
                </c:pt>
                <c:pt idx="188">
                  <c:v>46056</c:v>
                </c:pt>
                <c:pt idx="189">
                  <c:v>46057</c:v>
                </c:pt>
                <c:pt idx="190">
                  <c:v>46058</c:v>
                </c:pt>
                <c:pt idx="191">
                  <c:v>46059</c:v>
                </c:pt>
                <c:pt idx="192">
                  <c:v>46062</c:v>
                </c:pt>
                <c:pt idx="193">
                  <c:v>46063</c:v>
                </c:pt>
                <c:pt idx="194">
                  <c:v>46064</c:v>
                </c:pt>
                <c:pt idx="195">
                  <c:v>46065</c:v>
                </c:pt>
                <c:pt idx="196">
                  <c:v>46066</c:v>
                </c:pt>
                <c:pt idx="197">
                  <c:v>46069</c:v>
                </c:pt>
                <c:pt idx="198">
                  <c:v>46070</c:v>
                </c:pt>
                <c:pt idx="199">
                  <c:v>46071</c:v>
                </c:pt>
                <c:pt idx="200">
                  <c:v>46072</c:v>
                </c:pt>
                <c:pt idx="201">
                  <c:v>46073</c:v>
                </c:pt>
                <c:pt idx="202">
                  <c:v>46076</c:v>
                </c:pt>
                <c:pt idx="203">
                  <c:v>46077</c:v>
                </c:pt>
                <c:pt idx="204">
                  <c:v>46078</c:v>
                </c:pt>
                <c:pt idx="205">
                  <c:v>46079</c:v>
                </c:pt>
                <c:pt idx="206">
                  <c:v>46080</c:v>
                </c:pt>
                <c:pt idx="207">
                  <c:v>46083</c:v>
                </c:pt>
                <c:pt idx="208">
                  <c:v>46084</c:v>
                </c:pt>
                <c:pt idx="209">
                  <c:v>46085</c:v>
                </c:pt>
                <c:pt idx="210">
                  <c:v>46086</c:v>
                </c:pt>
                <c:pt idx="211">
                  <c:v>46087</c:v>
                </c:pt>
                <c:pt idx="212">
                  <c:v>46090</c:v>
                </c:pt>
                <c:pt idx="213">
                  <c:v>46091</c:v>
                </c:pt>
                <c:pt idx="214">
                  <c:v>46092</c:v>
                </c:pt>
                <c:pt idx="215">
                  <c:v>46093</c:v>
                </c:pt>
                <c:pt idx="216">
                  <c:v>46094</c:v>
                </c:pt>
                <c:pt idx="217">
                  <c:v>46097</c:v>
                </c:pt>
                <c:pt idx="218">
                  <c:v>46098</c:v>
                </c:pt>
                <c:pt idx="219">
                  <c:v>46099</c:v>
                </c:pt>
                <c:pt idx="220">
                  <c:v>46100</c:v>
                </c:pt>
                <c:pt idx="221">
                  <c:v>46101</c:v>
                </c:pt>
                <c:pt idx="222">
                  <c:v>46104</c:v>
                </c:pt>
                <c:pt idx="223">
                  <c:v>46105</c:v>
                </c:pt>
                <c:pt idx="224">
                  <c:v>46106</c:v>
                </c:pt>
                <c:pt idx="225">
                  <c:v>46107</c:v>
                </c:pt>
                <c:pt idx="226">
                  <c:v>46108</c:v>
                </c:pt>
                <c:pt idx="227">
                  <c:v>46111</c:v>
                </c:pt>
                <c:pt idx="228">
                  <c:v>46112</c:v>
                </c:pt>
                <c:pt idx="229">
                  <c:v>46113</c:v>
                </c:pt>
                <c:pt idx="230">
                  <c:v>46114</c:v>
                </c:pt>
                <c:pt idx="231">
                  <c:v>46119</c:v>
                </c:pt>
                <c:pt idx="232">
                  <c:v>46120</c:v>
                </c:pt>
                <c:pt idx="233">
                  <c:v>46121</c:v>
                </c:pt>
                <c:pt idx="234">
                  <c:v>46122</c:v>
                </c:pt>
              </c:numCache>
            </c:numRef>
          </c:cat>
          <c:val>
            <c:numRef>
              <c:f>obliczenia!$Q$6:$Q$240</c:f>
              <c:numCache>
                <c:formatCode>General</c:formatCode>
                <c:ptCount val="235"/>
                <c:pt idx="1">
                  <c:v>-2.4178264907772737E-2</c:v>
                </c:pt>
                <c:pt idx="2">
                  <c:v>-2.4700994183638598E-2</c:v>
                </c:pt>
                <c:pt idx="3">
                  <c:v>1.2327989658903762E-2</c:v>
                </c:pt>
                <c:pt idx="4">
                  <c:v>7.6274543394469155E-3</c:v>
                </c:pt>
                <c:pt idx="5">
                  <c:v>3.5282008536001018E-2</c:v>
                </c:pt>
                <c:pt idx="6">
                  <c:v>6.2885667465735363E-3</c:v>
                </c:pt>
                <c:pt idx="7">
                  <c:v>8.8382329434663672E-3</c:v>
                </c:pt>
                <c:pt idx="8">
                  <c:v>1.0741904261760613E-3</c:v>
                </c:pt>
                <c:pt idx="9">
                  <c:v>-8.3234288212922034E-3</c:v>
                </c:pt>
                <c:pt idx="10">
                  <c:v>4.4175051912853291E-3</c:v>
                </c:pt>
                <c:pt idx="11">
                  <c:v>-2.0774572868608312E-2</c:v>
                </c:pt>
                <c:pt idx="12">
                  <c:v>6.977292163707286E-3</c:v>
                </c:pt>
                <c:pt idx="13">
                  <c:v>-8.964158469858088E-3</c:v>
                </c:pt>
                <c:pt idx="14">
                  <c:v>-3.9254857678910904E-3</c:v>
                </c:pt>
                <c:pt idx="15">
                  <c:v>-1.4241498374814582E-2</c:v>
                </c:pt>
                <c:pt idx="16">
                  <c:v>3.0040609937480301E-2</c:v>
                </c:pt>
                <c:pt idx="17">
                  <c:v>1.2327329447960229E-2</c:v>
                </c:pt>
                <c:pt idx="18">
                  <c:v>7.7151980265807709E-3</c:v>
                </c:pt>
                <c:pt idx="19">
                  <c:v>-1.7450866040184358E-2</c:v>
                </c:pt>
                <c:pt idx="20">
                  <c:v>-1.137976811240362E-2</c:v>
                </c:pt>
                <c:pt idx="21">
                  <c:v>-1.7181629606472057E-2</c:v>
                </c:pt>
                <c:pt idx="22">
                  <c:v>-2.2025938774419895E-2</c:v>
                </c:pt>
                <c:pt idx="23">
                  <c:v>6.6980919406965508E-3</c:v>
                </c:pt>
                <c:pt idx="24">
                  <c:v>-2.0299137162738949E-2</c:v>
                </c:pt>
                <c:pt idx="25">
                  <c:v>-1.9194505949269115E-2</c:v>
                </c:pt>
                <c:pt idx="26">
                  <c:v>1.5644779797904424E-2</c:v>
                </c:pt>
                <c:pt idx="27">
                  <c:v>2.4613259968078272E-2</c:v>
                </c:pt>
                <c:pt idx="28">
                  <c:v>-6.6117445591620388E-3</c:v>
                </c:pt>
                <c:pt idx="29">
                  <c:v>-5.1094364083637232E-3</c:v>
                </c:pt>
                <c:pt idx="30">
                  <c:v>-2.0174275272475839E-2</c:v>
                </c:pt>
                <c:pt idx="31">
                  <c:v>1.5316658550241107E-3</c:v>
                </c:pt>
                <c:pt idx="32">
                  <c:v>2.1135280987528058E-3</c:v>
                </c:pt>
                <c:pt idx="33">
                  <c:v>-8.2862877611968571E-3</c:v>
                </c:pt>
                <c:pt idx="34">
                  <c:v>4.2687349783578831E-3</c:v>
                </c:pt>
                <c:pt idx="35">
                  <c:v>-3.0911482637797014E-2</c:v>
                </c:pt>
                <c:pt idx="36">
                  <c:v>5.1877132395179326E-2</c:v>
                </c:pt>
                <c:pt idx="37">
                  <c:v>-1.57297349012754E-2</c:v>
                </c:pt>
                <c:pt idx="38">
                  <c:v>2.1823572778523419E-2</c:v>
                </c:pt>
                <c:pt idx="39">
                  <c:v>7.5674632090213167E-3</c:v>
                </c:pt>
                <c:pt idx="40">
                  <c:v>2.2089306487744719E-2</c:v>
                </c:pt>
                <c:pt idx="41">
                  <c:v>-1.2141795192023181E-2</c:v>
                </c:pt>
                <c:pt idx="42">
                  <c:v>6.7668912312489008E-3</c:v>
                </c:pt>
                <c:pt idx="43">
                  <c:v>3.6755701367835229E-2</c:v>
                </c:pt>
                <c:pt idx="44">
                  <c:v>-1.342697922047505E-2</c:v>
                </c:pt>
                <c:pt idx="45">
                  <c:v>3.3898526010775372E-3</c:v>
                </c:pt>
                <c:pt idx="46">
                  <c:v>1.3788487501337363E-2</c:v>
                </c:pt>
                <c:pt idx="47">
                  <c:v>4.7683399970659566E-3</c:v>
                </c:pt>
                <c:pt idx="48">
                  <c:v>-2.7675481667091075E-2</c:v>
                </c:pt>
                <c:pt idx="49">
                  <c:v>-4.2842781674508725E-3</c:v>
                </c:pt>
                <c:pt idx="50">
                  <c:v>4.4745812143424327E-3</c:v>
                </c:pt>
                <c:pt idx="51">
                  <c:v>-1.3605823316911124E-3</c:v>
                </c:pt>
                <c:pt idx="52">
                  <c:v>3.7375539918098966E-3</c:v>
                </c:pt>
                <c:pt idx="53">
                  <c:v>2.8377765077192564E-2</c:v>
                </c:pt>
                <c:pt idx="54">
                  <c:v>2.3833943223991433E-2</c:v>
                </c:pt>
                <c:pt idx="55">
                  <c:v>-6.6624590854597755E-3</c:v>
                </c:pt>
                <c:pt idx="56">
                  <c:v>-9.6996146387570634E-3</c:v>
                </c:pt>
                <c:pt idx="57">
                  <c:v>7.3377551173449606E-3</c:v>
                </c:pt>
                <c:pt idx="58">
                  <c:v>2.5156965141737365E-2</c:v>
                </c:pt>
                <c:pt idx="59">
                  <c:v>5.5593193588883774E-3</c:v>
                </c:pt>
                <c:pt idx="60">
                  <c:v>-2.0823773373794874E-2</c:v>
                </c:pt>
                <c:pt idx="61">
                  <c:v>1.9838987214356913E-2</c:v>
                </c:pt>
                <c:pt idx="62">
                  <c:v>1.0751912059674953E-2</c:v>
                </c:pt>
                <c:pt idx="63">
                  <c:v>-3.5781914029058615E-3</c:v>
                </c:pt>
                <c:pt idx="64">
                  <c:v>-2.6996652106459747E-2</c:v>
                </c:pt>
                <c:pt idx="65">
                  <c:v>1.9046824416565064E-2</c:v>
                </c:pt>
                <c:pt idx="66">
                  <c:v>-1.1511198661117123E-2</c:v>
                </c:pt>
                <c:pt idx="67">
                  <c:v>4.3965054456512949E-2</c:v>
                </c:pt>
                <c:pt idx="68">
                  <c:v>3.7037401390531438E-2</c:v>
                </c:pt>
                <c:pt idx="69">
                  <c:v>2.0322445895431585E-2</c:v>
                </c:pt>
                <c:pt idx="70">
                  <c:v>-2.3422624832574908E-3</c:v>
                </c:pt>
                <c:pt idx="71">
                  <c:v>9.0736713829301999E-3</c:v>
                </c:pt>
                <c:pt idx="72">
                  <c:v>3.8493428084891328E-3</c:v>
                </c:pt>
                <c:pt idx="73">
                  <c:v>-2.1946392407301941E-2</c:v>
                </c:pt>
                <c:pt idx="74">
                  <c:v>-1.9972463853025284E-3</c:v>
                </c:pt>
                <c:pt idx="75">
                  <c:v>9.5419315855764172E-3</c:v>
                </c:pt>
                <c:pt idx="76">
                  <c:v>-5.7673436536596892E-3</c:v>
                </c:pt>
                <c:pt idx="77">
                  <c:v>1.0265653617214219E-2</c:v>
                </c:pt>
                <c:pt idx="78">
                  <c:v>-0.10282371352803926</c:v>
                </c:pt>
                <c:pt idx="79">
                  <c:v>1.5217233968953671E-2</c:v>
                </c:pt>
                <c:pt idx="80">
                  <c:v>4.7981361652016099E-3</c:v>
                </c:pt>
                <c:pt idx="81">
                  <c:v>-1.9208313210176096E-2</c:v>
                </c:pt>
                <c:pt idx="82">
                  <c:v>-8.1706161839184797E-3</c:v>
                </c:pt>
                <c:pt idx="83">
                  <c:v>-2.4274273652945197E-2</c:v>
                </c:pt>
                <c:pt idx="84">
                  <c:v>-1.2685395345358589E-2</c:v>
                </c:pt>
                <c:pt idx="85">
                  <c:v>6.6196150901913931E-3</c:v>
                </c:pt>
                <c:pt idx="86">
                  <c:v>-2.348184285779582E-3</c:v>
                </c:pt>
                <c:pt idx="87">
                  <c:v>2.6292564264361735E-2</c:v>
                </c:pt>
                <c:pt idx="88">
                  <c:v>-2.5319328168025308E-2</c:v>
                </c:pt>
                <c:pt idx="89">
                  <c:v>2.6579139611186908E-2</c:v>
                </c:pt>
                <c:pt idx="90">
                  <c:v>-1.0972685735683795E-2</c:v>
                </c:pt>
                <c:pt idx="91">
                  <c:v>-1.6591978313645523E-2</c:v>
                </c:pt>
                <c:pt idx="92">
                  <c:v>2.0921269496761687E-2</c:v>
                </c:pt>
                <c:pt idx="93">
                  <c:v>-1.0448279528334679E-2</c:v>
                </c:pt>
                <c:pt idx="94">
                  <c:v>1.1423135191998992E-2</c:v>
                </c:pt>
                <c:pt idx="95">
                  <c:v>-2.1584385836401834E-2</c:v>
                </c:pt>
                <c:pt idx="96">
                  <c:v>-2.4705293119203545E-3</c:v>
                </c:pt>
                <c:pt idx="97">
                  <c:v>3.1954189126097857E-3</c:v>
                </c:pt>
                <c:pt idx="98">
                  <c:v>2.6493893084753983E-3</c:v>
                </c:pt>
                <c:pt idx="99">
                  <c:v>-2.113259706770302E-2</c:v>
                </c:pt>
                <c:pt idx="100">
                  <c:v>8.0229433215888331E-3</c:v>
                </c:pt>
                <c:pt idx="101">
                  <c:v>-3.6994538767138813E-3</c:v>
                </c:pt>
                <c:pt idx="102">
                  <c:v>-2.0064289467554283E-2</c:v>
                </c:pt>
                <c:pt idx="103">
                  <c:v>2.9006813148215557E-2</c:v>
                </c:pt>
                <c:pt idx="104">
                  <c:v>-8.9063235020772173E-3</c:v>
                </c:pt>
                <c:pt idx="105">
                  <c:v>-3.1485781375971655E-4</c:v>
                </c:pt>
                <c:pt idx="106">
                  <c:v>1.3513775776774539E-2</c:v>
                </c:pt>
                <c:pt idx="107">
                  <c:v>2.3021083067565305E-2</c:v>
                </c:pt>
                <c:pt idx="108">
                  <c:v>1.5092273536167455E-4</c:v>
                </c:pt>
                <c:pt idx="109">
                  <c:v>-1.7957722741178662E-2</c:v>
                </c:pt>
                <c:pt idx="110">
                  <c:v>1.4517184574035903E-2</c:v>
                </c:pt>
                <c:pt idx="111">
                  <c:v>-2.1473597165160346E-3</c:v>
                </c:pt>
                <c:pt idx="112">
                  <c:v>2.3600127124175489E-3</c:v>
                </c:pt>
                <c:pt idx="113">
                  <c:v>5.4317897813984028E-3</c:v>
                </c:pt>
                <c:pt idx="114">
                  <c:v>-6.4358631426473306E-3</c:v>
                </c:pt>
                <c:pt idx="115">
                  <c:v>-3.9589433210118338E-3</c:v>
                </c:pt>
                <c:pt idx="116">
                  <c:v>2.4781620481340194E-2</c:v>
                </c:pt>
                <c:pt idx="117">
                  <c:v>-1.2172459412836496E-2</c:v>
                </c:pt>
                <c:pt idx="118">
                  <c:v>-1.0361088605998884E-2</c:v>
                </c:pt>
                <c:pt idx="119">
                  <c:v>1.7660393596221232E-2</c:v>
                </c:pt>
                <c:pt idx="120">
                  <c:v>7.8511704687735783E-3</c:v>
                </c:pt>
                <c:pt idx="121">
                  <c:v>1.8711579368582254E-2</c:v>
                </c:pt>
                <c:pt idx="122">
                  <c:v>4.1604924711426856E-3</c:v>
                </c:pt>
                <c:pt idx="123">
                  <c:v>-4.4366556681035224E-3</c:v>
                </c:pt>
                <c:pt idx="124">
                  <c:v>2.737088777475606E-3</c:v>
                </c:pt>
                <c:pt idx="125">
                  <c:v>2.6263607110798361E-2</c:v>
                </c:pt>
                <c:pt idx="126">
                  <c:v>-3.5722543914431418E-3</c:v>
                </c:pt>
                <c:pt idx="127">
                  <c:v>-1.8070402069665353E-2</c:v>
                </c:pt>
                <c:pt idx="128">
                  <c:v>-2.7783655479246695E-2</c:v>
                </c:pt>
                <c:pt idx="129">
                  <c:v>1.830303333152352E-2</c:v>
                </c:pt>
                <c:pt idx="130">
                  <c:v>-2.673648733831851E-3</c:v>
                </c:pt>
                <c:pt idx="131">
                  <c:v>-1.144361613826015E-2</c:v>
                </c:pt>
                <c:pt idx="132">
                  <c:v>1.3744671026486539E-2</c:v>
                </c:pt>
                <c:pt idx="133">
                  <c:v>2.4981635056449524E-3</c:v>
                </c:pt>
                <c:pt idx="134">
                  <c:v>5.8226005333099316E-3</c:v>
                </c:pt>
                <c:pt idx="135">
                  <c:v>6.8235579433603439E-3</c:v>
                </c:pt>
                <c:pt idx="136">
                  <c:v>-3.3095806354545574E-3</c:v>
                </c:pt>
                <c:pt idx="137">
                  <c:v>-1.1853929247312565E-2</c:v>
                </c:pt>
                <c:pt idx="138">
                  <c:v>-8.1160696178404958E-3</c:v>
                </c:pt>
                <c:pt idx="139">
                  <c:v>-1.627458791006535E-2</c:v>
                </c:pt>
                <c:pt idx="140">
                  <c:v>2.6146201646292951E-2</c:v>
                </c:pt>
                <c:pt idx="141">
                  <c:v>-3.6092936667490362E-3</c:v>
                </c:pt>
                <c:pt idx="142">
                  <c:v>-1.5661221456480152E-2</c:v>
                </c:pt>
                <c:pt idx="143">
                  <c:v>5.1806799173536641E-3</c:v>
                </c:pt>
                <c:pt idx="144">
                  <c:v>2.2795858479358687E-2</c:v>
                </c:pt>
                <c:pt idx="145">
                  <c:v>1.5338649564122731E-2</c:v>
                </c:pt>
                <c:pt idx="146">
                  <c:v>-1.4263043075058784E-3</c:v>
                </c:pt>
                <c:pt idx="147">
                  <c:v>-5.8638634964510369E-3</c:v>
                </c:pt>
                <c:pt idx="148">
                  <c:v>1.4322278034140268E-3</c:v>
                </c:pt>
                <c:pt idx="149">
                  <c:v>-2.4401730067409439E-2</c:v>
                </c:pt>
                <c:pt idx="150">
                  <c:v>-1.8368162139974983E-3</c:v>
                </c:pt>
                <c:pt idx="151">
                  <c:v>3.7108641933885095E-3</c:v>
                </c:pt>
                <c:pt idx="152">
                  <c:v>-4.864871250741306E-3</c:v>
                </c:pt>
                <c:pt idx="153">
                  <c:v>7.1744850487225125E-3</c:v>
                </c:pt>
                <c:pt idx="154">
                  <c:v>2.0955185479336683E-2</c:v>
                </c:pt>
                <c:pt idx="155">
                  <c:v>3.0676874658359873E-3</c:v>
                </c:pt>
                <c:pt idx="156">
                  <c:v>1.6194908040910679E-2</c:v>
                </c:pt>
                <c:pt idx="157">
                  <c:v>1.1503107720698038E-3</c:v>
                </c:pt>
                <c:pt idx="158">
                  <c:v>2.2425505844401065E-2</c:v>
                </c:pt>
                <c:pt idx="159">
                  <c:v>-9.0710723864229348E-3</c:v>
                </c:pt>
                <c:pt idx="160">
                  <c:v>-9.0045457655491233E-3</c:v>
                </c:pt>
                <c:pt idx="161">
                  <c:v>5.0251292998187355E-3</c:v>
                </c:pt>
                <c:pt idx="162">
                  <c:v>2.3508435331195527E-2</c:v>
                </c:pt>
                <c:pt idx="163">
                  <c:v>9.4257070570827892E-4</c:v>
                </c:pt>
                <c:pt idx="164">
                  <c:v>-3.3334534815077678E-3</c:v>
                </c:pt>
                <c:pt idx="165">
                  <c:v>-2.5333444913464816E-3</c:v>
                </c:pt>
                <c:pt idx="166">
                  <c:v>5.0220716821780219E-3</c:v>
                </c:pt>
                <c:pt idx="167">
                  <c:v>3.1132521018357548E-2</c:v>
                </c:pt>
                <c:pt idx="168">
                  <c:v>-7.9708648558993438E-3</c:v>
                </c:pt>
                <c:pt idx="169">
                  <c:v>1.2152173392306294E-2</c:v>
                </c:pt>
                <c:pt idx="170">
                  <c:v>-1.4069921965453409E-2</c:v>
                </c:pt>
                <c:pt idx="171">
                  <c:v>-4.5103609747494085E-3</c:v>
                </c:pt>
                <c:pt idx="172">
                  <c:v>8.8526963855819815E-3</c:v>
                </c:pt>
                <c:pt idx="173">
                  <c:v>-1.1506602645457033E-2</c:v>
                </c:pt>
                <c:pt idx="174">
                  <c:v>-1.4029799274255789E-2</c:v>
                </c:pt>
                <c:pt idx="175">
                  <c:v>1.9872103917163162E-3</c:v>
                </c:pt>
                <c:pt idx="176">
                  <c:v>-4.4690005819569157E-3</c:v>
                </c:pt>
                <c:pt idx="177">
                  <c:v>-3.6476476157557033E-3</c:v>
                </c:pt>
                <c:pt idx="178">
                  <c:v>4.3524426457712991E-3</c:v>
                </c:pt>
                <c:pt idx="179">
                  <c:v>-1.4049220047137997E-3</c:v>
                </c:pt>
                <c:pt idx="180">
                  <c:v>2.965096070543416E-2</c:v>
                </c:pt>
                <c:pt idx="181">
                  <c:v>-2.1289338092566057E-2</c:v>
                </c:pt>
                <c:pt idx="182">
                  <c:v>1.9306984395184103E-2</c:v>
                </c:pt>
                <c:pt idx="183">
                  <c:v>1.7827438827310596E-2</c:v>
                </c:pt>
                <c:pt idx="184">
                  <c:v>-7.8103865676135715E-3</c:v>
                </c:pt>
                <c:pt idx="185">
                  <c:v>-1.5788963505281424E-2</c:v>
                </c:pt>
                <c:pt idx="186">
                  <c:v>1.95370527207115E-2</c:v>
                </c:pt>
                <c:pt idx="187">
                  <c:v>1.8135888970345803E-2</c:v>
                </c:pt>
                <c:pt idx="188">
                  <c:v>4.5044800474140445E-2</c:v>
                </c:pt>
                <c:pt idx="189">
                  <c:v>-1.6124032411952583E-3</c:v>
                </c:pt>
                <c:pt idx="190">
                  <c:v>-2.4881830364972081E-2</c:v>
                </c:pt>
                <c:pt idx="191">
                  <c:v>1.0862205655350326E-3</c:v>
                </c:pt>
                <c:pt idx="192">
                  <c:v>1.3547297046536028E-2</c:v>
                </c:pt>
                <c:pt idx="193">
                  <c:v>-6.361062760831435E-3</c:v>
                </c:pt>
                <c:pt idx="194">
                  <c:v>-6.5792528190014264E-3</c:v>
                </c:pt>
                <c:pt idx="195">
                  <c:v>6.3997979955132183E-3</c:v>
                </c:pt>
                <c:pt idx="196">
                  <c:v>-3.6921951712709358E-2</c:v>
                </c:pt>
                <c:pt idx="197">
                  <c:v>7.7940236370509291E-3</c:v>
                </c:pt>
                <c:pt idx="198">
                  <c:v>2.5818128131001685E-3</c:v>
                </c:pt>
                <c:pt idx="199">
                  <c:v>1.3035329114224274E-2</c:v>
                </c:pt>
                <c:pt idx="200">
                  <c:v>4.252146509090224E-3</c:v>
                </c:pt>
                <c:pt idx="201">
                  <c:v>5.0827505209805413E-3</c:v>
                </c:pt>
                <c:pt idx="202">
                  <c:v>1.1103945479256645E-2</c:v>
                </c:pt>
                <c:pt idx="203">
                  <c:v>-1.8493860061016842E-2</c:v>
                </c:pt>
                <c:pt idx="204">
                  <c:v>1.3133200608409805E-2</c:v>
                </c:pt>
                <c:pt idx="205">
                  <c:v>-8.12218469299468E-3</c:v>
                </c:pt>
                <c:pt idx="206">
                  <c:v>-1.3878152804591587E-2</c:v>
                </c:pt>
                <c:pt idx="207">
                  <c:v>-2.7878907421312556E-2</c:v>
                </c:pt>
                <c:pt idx="208">
                  <c:v>-4.9737682430791283E-2</c:v>
                </c:pt>
                <c:pt idx="209">
                  <c:v>2.8048676706524001E-2</c:v>
                </c:pt>
                <c:pt idx="210">
                  <c:v>1.2517143001276746E-3</c:v>
                </c:pt>
                <c:pt idx="211">
                  <c:v>-3.6266946586637587E-2</c:v>
                </c:pt>
                <c:pt idx="212">
                  <c:v>-1.2723771287222009E-4</c:v>
                </c:pt>
                <c:pt idx="213">
                  <c:v>2.6819348455731157E-2</c:v>
                </c:pt>
                <c:pt idx="214">
                  <c:v>-3.2491992157755601E-3</c:v>
                </c:pt>
                <c:pt idx="215">
                  <c:v>-1.2168565093088364E-2</c:v>
                </c:pt>
                <c:pt idx="216">
                  <c:v>-3.819678060703255E-5</c:v>
                </c:pt>
                <c:pt idx="217">
                  <c:v>1.3102006210651461E-2</c:v>
                </c:pt>
                <c:pt idx="218">
                  <c:v>2.5049183840902656E-2</c:v>
                </c:pt>
                <c:pt idx="219">
                  <c:v>-1.782663287293854E-4</c:v>
                </c:pt>
                <c:pt idx="220">
                  <c:v>-1.2417890909793901E-2</c:v>
                </c:pt>
                <c:pt idx="221">
                  <c:v>-1.6353944940679592E-2</c:v>
                </c:pt>
                <c:pt idx="222">
                  <c:v>2.1854980722938202E-2</c:v>
                </c:pt>
                <c:pt idx="223">
                  <c:v>-1.5886006184342213E-2</c:v>
                </c:pt>
                <c:pt idx="224">
                  <c:v>1.807957646477034E-2</c:v>
                </c:pt>
                <c:pt idx="225">
                  <c:v>-2.4480435447648916E-3</c:v>
                </c:pt>
                <c:pt idx="226">
                  <c:v>6.4673584525240524E-3</c:v>
                </c:pt>
                <c:pt idx="227">
                  <c:v>-9.7895981526444284E-3</c:v>
                </c:pt>
                <c:pt idx="228">
                  <c:v>1.5971211254985376E-2</c:v>
                </c:pt>
                <c:pt idx="229">
                  <c:v>3.7280638615420601E-2</c:v>
                </c:pt>
                <c:pt idx="230">
                  <c:v>4.8640149173175187E-3</c:v>
                </c:pt>
                <c:pt idx="231">
                  <c:v>3.2393596633925209E-3</c:v>
                </c:pt>
                <c:pt idx="232">
                  <c:v>6.7768965801635411E-2</c:v>
                </c:pt>
                <c:pt idx="233">
                  <c:v>-5.3943109661610438E-3</c:v>
                </c:pt>
                <c:pt idx="234">
                  <c:v>2.9513150139962176E-2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9A-451E-82DF-63C72F4D5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4450271"/>
        <c:axId val="1484442367"/>
      </c:lineChart>
      <c:dateAx>
        <c:axId val="14844502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84442367"/>
        <c:crosses val="autoZero"/>
        <c:auto val="1"/>
        <c:lblOffset val="100"/>
        <c:baseTimeUnit val="days"/>
      </c:dateAx>
      <c:valAx>
        <c:axId val="1484442367"/>
        <c:scaling>
          <c:orientation val="minMax"/>
          <c:max val="8.0000000000000016E-2"/>
          <c:min val="-0.11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844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Dzienne</a:t>
            </a:r>
            <a:r>
              <a:rPr lang="en-GB" b="1" baseline="0"/>
              <a:t> stopy zwrotu dla obu portfeli</a:t>
            </a:r>
            <a:endParaRPr lang="pl-PL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obliczenia!$R$5</c:f>
              <c:strCache>
                <c:ptCount val="1"/>
                <c:pt idx="0">
                  <c:v>Portfel B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obliczenia!$P$6:$P$240</c:f>
              <c:numCache>
                <c:formatCode>m/d/yyyy</c:formatCode>
                <c:ptCount val="235"/>
                <c:pt idx="0">
                  <c:v>45779</c:v>
                </c:pt>
                <c:pt idx="1">
                  <c:v>45782</c:v>
                </c:pt>
                <c:pt idx="2">
                  <c:v>45783</c:v>
                </c:pt>
                <c:pt idx="3">
                  <c:v>45784</c:v>
                </c:pt>
                <c:pt idx="4">
                  <c:v>45785</c:v>
                </c:pt>
                <c:pt idx="5">
                  <c:v>45786</c:v>
                </c:pt>
                <c:pt idx="6">
                  <c:v>45789</c:v>
                </c:pt>
                <c:pt idx="7">
                  <c:v>45790</c:v>
                </c:pt>
                <c:pt idx="8">
                  <c:v>45791</c:v>
                </c:pt>
                <c:pt idx="9">
                  <c:v>45792</c:v>
                </c:pt>
                <c:pt idx="10">
                  <c:v>45793</c:v>
                </c:pt>
                <c:pt idx="11">
                  <c:v>45796</c:v>
                </c:pt>
                <c:pt idx="12">
                  <c:v>45797</c:v>
                </c:pt>
                <c:pt idx="13">
                  <c:v>45798</c:v>
                </c:pt>
                <c:pt idx="14">
                  <c:v>45799</c:v>
                </c:pt>
                <c:pt idx="15">
                  <c:v>45800</c:v>
                </c:pt>
                <c:pt idx="16">
                  <c:v>45803</c:v>
                </c:pt>
                <c:pt idx="17">
                  <c:v>45804</c:v>
                </c:pt>
                <c:pt idx="18">
                  <c:v>45805</c:v>
                </c:pt>
                <c:pt idx="19">
                  <c:v>45806</c:v>
                </c:pt>
                <c:pt idx="20">
                  <c:v>45807</c:v>
                </c:pt>
                <c:pt idx="21">
                  <c:v>45810</c:v>
                </c:pt>
                <c:pt idx="22">
                  <c:v>45811</c:v>
                </c:pt>
                <c:pt idx="23">
                  <c:v>45812</c:v>
                </c:pt>
                <c:pt idx="24">
                  <c:v>45813</c:v>
                </c:pt>
                <c:pt idx="25">
                  <c:v>45814</c:v>
                </c:pt>
                <c:pt idx="26">
                  <c:v>45817</c:v>
                </c:pt>
                <c:pt idx="27">
                  <c:v>45818</c:v>
                </c:pt>
                <c:pt idx="28">
                  <c:v>45819</c:v>
                </c:pt>
                <c:pt idx="29">
                  <c:v>45820</c:v>
                </c:pt>
                <c:pt idx="30">
                  <c:v>45821</c:v>
                </c:pt>
                <c:pt idx="31">
                  <c:v>45824</c:v>
                </c:pt>
                <c:pt idx="32">
                  <c:v>45825</c:v>
                </c:pt>
                <c:pt idx="33">
                  <c:v>45826</c:v>
                </c:pt>
                <c:pt idx="34">
                  <c:v>45828</c:v>
                </c:pt>
                <c:pt idx="35">
                  <c:v>45831</c:v>
                </c:pt>
                <c:pt idx="36">
                  <c:v>45832</c:v>
                </c:pt>
                <c:pt idx="37">
                  <c:v>45833</c:v>
                </c:pt>
                <c:pt idx="38">
                  <c:v>45834</c:v>
                </c:pt>
                <c:pt idx="39">
                  <c:v>45835</c:v>
                </c:pt>
                <c:pt idx="40">
                  <c:v>45838</c:v>
                </c:pt>
                <c:pt idx="41">
                  <c:v>45839</c:v>
                </c:pt>
                <c:pt idx="42">
                  <c:v>45840</c:v>
                </c:pt>
                <c:pt idx="43">
                  <c:v>45841</c:v>
                </c:pt>
                <c:pt idx="44">
                  <c:v>45842</c:v>
                </c:pt>
                <c:pt idx="45">
                  <c:v>45845</c:v>
                </c:pt>
                <c:pt idx="46">
                  <c:v>45846</c:v>
                </c:pt>
                <c:pt idx="47">
                  <c:v>45847</c:v>
                </c:pt>
                <c:pt idx="48">
                  <c:v>45848</c:v>
                </c:pt>
                <c:pt idx="49">
                  <c:v>45849</c:v>
                </c:pt>
                <c:pt idx="50">
                  <c:v>45852</c:v>
                </c:pt>
                <c:pt idx="51">
                  <c:v>45853</c:v>
                </c:pt>
                <c:pt idx="52">
                  <c:v>45854</c:v>
                </c:pt>
                <c:pt idx="53">
                  <c:v>45855</c:v>
                </c:pt>
                <c:pt idx="54">
                  <c:v>45856</c:v>
                </c:pt>
                <c:pt idx="55">
                  <c:v>45859</c:v>
                </c:pt>
                <c:pt idx="56">
                  <c:v>45860</c:v>
                </c:pt>
                <c:pt idx="57">
                  <c:v>45861</c:v>
                </c:pt>
                <c:pt idx="58">
                  <c:v>45862</c:v>
                </c:pt>
                <c:pt idx="59">
                  <c:v>45863</c:v>
                </c:pt>
                <c:pt idx="60">
                  <c:v>45866</c:v>
                </c:pt>
                <c:pt idx="61">
                  <c:v>45867</c:v>
                </c:pt>
                <c:pt idx="62">
                  <c:v>45868</c:v>
                </c:pt>
                <c:pt idx="63">
                  <c:v>45869</c:v>
                </c:pt>
                <c:pt idx="64">
                  <c:v>45870</c:v>
                </c:pt>
                <c:pt idx="65">
                  <c:v>45873</c:v>
                </c:pt>
                <c:pt idx="66">
                  <c:v>45874</c:v>
                </c:pt>
                <c:pt idx="67">
                  <c:v>45875</c:v>
                </c:pt>
                <c:pt idx="68">
                  <c:v>45876</c:v>
                </c:pt>
                <c:pt idx="69">
                  <c:v>45877</c:v>
                </c:pt>
                <c:pt idx="70">
                  <c:v>45880</c:v>
                </c:pt>
                <c:pt idx="71">
                  <c:v>45881</c:v>
                </c:pt>
                <c:pt idx="72">
                  <c:v>45882</c:v>
                </c:pt>
                <c:pt idx="73">
                  <c:v>45883</c:v>
                </c:pt>
                <c:pt idx="74">
                  <c:v>45887</c:v>
                </c:pt>
                <c:pt idx="75">
                  <c:v>45888</c:v>
                </c:pt>
                <c:pt idx="76">
                  <c:v>45889</c:v>
                </c:pt>
                <c:pt idx="77">
                  <c:v>45890</c:v>
                </c:pt>
                <c:pt idx="78">
                  <c:v>45891</c:v>
                </c:pt>
                <c:pt idx="79">
                  <c:v>45894</c:v>
                </c:pt>
                <c:pt idx="80">
                  <c:v>45895</c:v>
                </c:pt>
                <c:pt idx="81">
                  <c:v>45896</c:v>
                </c:pt>
                <c:pt idx="82">
                  <c:v>45897</c:v>
                </c:pt>
                <c:pt idx="83">
                  <c:v>45898</c:v>
                </c:pt>
                <c:pt idx="84">
                  <c:v>45901</c:v>
                </c:pt>
                <c:pt idx="85">
                  <c:v>45902</c:v>
                </c:pt>
                <c:pt idx="86">
                  <c:v>45903</c:v>
                </c:pt>
                <c:pt idx="87">
                  <c:v>45904</c:v>
                </c:pt>
                <c:pt idx="88">
                  <c:v>45905</c:v>
                </c:pt>
                <c:pt idx="89">
                  <c:v>45908</c:v>
                </c:pt>
                <c:pt idx="90">
                  <c:v>45909</c:v>
                </c:pt>
                <c:pt idx="91">
                  <c:v>45910</c:v>
                </c:pt>
                <c:pt idx="92">
                  <c:v>45911</c:v>
                </c:pt>
                <c:pt idx="93">
                  <c:v>45912</c:v>
                </c:pt>
                <c:pt idx="94">
                  <c:v>45915</c:v>
                </c:pt>
                <c:pt idx="95">
                  <c:v>45916</c:v>
                </c:pt>
                <c:pt idx="96">
                  <c:v>45917</c:v>
                </c:pt>
                <c:pt idx="97">
                  <c:v>45918</c:v>
                </c:pt>
                <c:pt idx="98">
                  <c:v>45919</c:v>
                </c:pt>
                <c:pt idx="99">
                  <c:v>45922</c:v>
                </c:pt>
                <c:pt idx="100">
                  <c:v>45923</c:v>
                </c:pt>
                <c:pt idx="101">
                  <c:v>45924</c:v>
                </c:pt>
                <c:pt idx="102">
                  <c:v>45925</c:v>
                </c:pt>
                <c:pt idx="103">
                  <c:v>45926</c:v>
                </c:pt>
                <c:pt idx="104">
                  <c:v>45929</c:v>
                </c:pt>
                <c:pt idx="105">
                  <c:v>45930</c:v>
                </c:pt>
                <c:pt idx="106">
                  <c:v>45931</c:v>
                </c:pt>
                <c:pt idx="107">
                  <c:v>45932</c:v>
                </c:pt>
                <c:pt idx="108">
                  <c:v>45933</c:v>
                </c:pt>
                <c:pt idx="109">
                  <c:v>45936</c:v>
                </c:pt>
                <c:pt idx="110">
                  <c:v>45937</c:v>
                </c:pt>
                <c:pt idx="111">
                  <c:v>45938</c:v>
                </c:pt>
                <c:pt idx="112">
                  <c:v>45939</c:v>
                </c:pt>
                <c:pt idx="113">
                  <c:v>45940</c:v>
                </c:pt>
                <c:pt idx="114">
                  <c:v>45943</c:v>
                </c:pt>
                <c:pt idx="115">
                  <c:v>45944</c:v>
                </c:pt>
                <c:pt idx="116">
                  <c:v>45945</c:v>
                </c:pt>
                <c:pt idx="117">
                  <c:v>45946</c:v>
                </c:pt>
                <c:pt idx="118">
                  <c:v>45947</c:v>
                </c:pt>
                <c:pt idx="119">
                  <c:v>45950</c:v>
                </c:pt>
                <c:pt idx="120">
                  <c:v>45951</c:v>
                </c:pt>
                <c:pt idx="121">
                  <c:v>45952</c:v>
                </c:pt>
                <c:pt idx="122">
                  <c:v>45953</c:v>
                </c:pt>
                <c:pt idx="123">
                  <c:v>45954</c:v>
                </c:pt>
                <c:pt idx="124">
                  <c:v>45957</c:v>
                </c:pt>
                <c:pt idx="125">
                  <c:v>45958</c:v>
                </c:pt>
                <c:pt idx="126">
                  <c:v>45959</c:v>
                </c:pt>
                <c:pt idx="127">
                  <c:v>45960</c:v>
                </c:pt>
                <c:pt idx="128">
                  <c:v>45961</c:v>
                </c:pt>
                <c:pt idx="129">
                  <c:v>45964</c:v>
                </c:pt>
                <c:pt idx="130">
                  <c:v>45965</c:v>
                </c:pt>
                <c:pt idx="131">
                  <c:v>45966</c:v>
                </c:pt>
                <c:pt idx="132">
                  <c:v>45967</c:v>
                </c:pt>
                <c:pt idx="133">
                  <c:v>45968</c:v>
                </c:pt>
                <c:pt idx="134">
                  <c:v>45971</c:v>
                </c:pt>
                <c:pt idx="135">
                  <c:v>45973</c:v>
                </c:pt>
                <c:pt idx="136">
                  <c:v>45974</c:v>
                </c:pt>
                <c:pt idx="137">
                  <c:v>45975</c:v>
                </c:pt>
                <c:pt idx="138">
                  <c:v>45978</c:v>
                </c:pt>
                <c:pt idx="139">
                  <c:v>45979</c:v>
                </c:pt>
                <c:pt idx="140">
                  <c:v>45980</c:v>
                </c:pt>
                <c:pt idx="141">
                  <c:v>45981</c:v>
                </c:pt>
                <c:pt idx="142">
                  <c:v>45982</c:v>
                </c:pt>
                <c:pt idx="143">
                  <c:v>45985</c:v>
                </c:pt>
                <c:pt idx="144">
                  <c:v>45986</c:v>
                </c:pt>
                <c:pt idx="145">
                  <c:v>45987</c:v>
                </c:pt>
                <c:pt idx="146">
                  <c:v>45988</c:v>
                </c:pt>
                <c:pt idx="147">
                  <c:v>45989</c:v>
                </c:pt>
                <c:pt idx="148">
                  <c:v>45992</c:v>
                </c:pt>
                <c:pt idx="149">
                  <c:v>45993</c:v>
                </c:pt>
                <c:pt idx="150">
                  <c:v>45994</c:v>
                </c:pt>
                <c:pt idx="151">
                  <c:v>45995</c:v>
                </c:pt>
                <c:pt idx="152">
                  <c:v>45996</c:v>
                </c:pt>
                <c:pt idx="153">
                  <c:v>45999</c:v>
                </c:pt>
                <c:pt idx="154">
                  <c:v>46000</c:v>
                </c:pt>
                <c:pt idx="155">
                  <c:v>46001</c:v>
                </c:pt>
                <c:pt idx="156">
                  <c:v>46002</c:v>
                </c:pt>
                <c:pt idx="157">
                  <c:v>46003</c:v>
                </c:pt>
                <c:pt idx="158">
                  <c:v>46006</c:v>
                </c:pt>
                <c:pt idx="159">
                  <c:v>46007</c:v>
                </c:pt>
                <c:pt idx="160">
                  <c:v>46008</c:v>
                </c:pt>
                <c:pt idx="161">
                  <c:v>46009</c:v>
                </c:pt>
                <c:pt idx="162">
                  <c:v>46010</c:v>
                </c:pt>
                <c:pt idx="163">
                  <c:v>46013</c:v>
                </c:pt>
                <c:pt idx="164">
                  <c:v>46014</c:v>
                </c:pt>
                <c:pt idx="165">
                  <c:v>46020</c:v>
                </c:pt>
                <c:pt idx="166">
                  <c:v>46021</c:v>
                </c:pt>
                <c:pt idx="167">
                  <c:v>46024</c:v>
                </c:pt>
                <c:pt idx="168">
                  <c:v>46027</c:v>
                </c:pt>
                <c:pt idx="169">
                  <c:v>46029</c:v>
                </c:pt>
                <c:pt idx="170">
                  <c:v>46030</c:v>
                </c:pt>
                <c:pt idx="171">
                  <c:v>46031</c:v>
                </c:pt>
                <c:pt idx="172">
                  <c:v>46034</c:v>
                </c:pt>
                <c:pt idx="173">
                  <c:v>46035</c:v>
                </c:pt>
                <c:pt idx="174">
                  <c:v>46036</c:v>
                </c:pt>
                <c:pt idx="175">
                  <c:v>46037</c:v>
                </c:pt>
                <c:pt idx="176">
                  <c:v>46038</c:v>
                </c:pt>
                <c:pt idx="177">
                  <c:v>46041</c:v>
                </c:pt>
                <c:pt idx="178">
                  <c:v>46042</c:v>
                </c:pt>
                <c:pt idx="179">
                  <c:v>46043</c:v>
                </c:pt>
                <c:pt idx="180">
                  <c:v>46044</c:v>
                </c:pt>
                <c:pt idx="181">
                  <c:v>46045</c:v>
                </c:pt>
                <c:pt idx="182">
                  <c:v>46048</c:v>
                </c:pt>
                <c:pt idx="183">
                  <c:v>46049</c:v>
                </c:pt>
                <c:pt idx="184">
                  <c:v>46050</c:v>
                </c:pt>
                <c:pt idx="185">
                  <c:v>46051</c:v>
                </c:pt>
                <c:pt idx="186">
                  <c:v>46052</c:v>
                </c:pt>
                <c:pt idx="187">
                  <c:v>46055</c:v>
                </c:pt>
                <c:pt idx="188">
                  <c:v>46056</c:v>
                </c:pt>
                <c:pt idx="189">
                  <c:v>46057</c:v>
                </c:pt>
                <c:pt idx="190">
                  <c:v>46058</c:v>
                </c:pt>
                <c:pt idx="191">
                  <c:v>46059</c:v>
                </c:pt>
                <c:pt idx="192">
                  <c:v>46062</c:v>
                </c:pt>
                <c:pt idx="193">
                  <c:v>46063</c:v>
                </c:pt>
                <c:pt idx="194">
                  <c:v>46064</c:v>
                </c:pt>
                <c:pt idx="195">
                  <c:v>46065</c:v>
                </c:pt>
                <c:pt idx="196">
                  <c:v>46066</c:v>
                </c:pt>
                <c:pt idx="197">
                  <c:v>46069</c:v>
                </c:pt>
                <c:pt idx="198">
                  <c:v>46070</c:v>
                </c:pt>
                <c:pt idx="199">
                  <c:v>46071</c:v>
                </c:pt>
                <c:pt idx="200">
                  <c:v>46072</c:v>
                </c:pt>
                <c:pt idx="201">
                  <c:v>46073</c:v>
                </c:pt>
                <c:pt idx="202">
                  <c:v>46076</c:v>
                </c:pt>
                <c:pt idx="203">
                  <c:v>46077</c:v>
                </c:pt>
                <c:pt idx="204">
                  <c:v>46078</c:v>
                </c:pt>
                <c:pt idx="205">
                  <c:v>46079</c:v>
                </c:pt>
                <c:pt idx="206">
                  <c:v>46080</c:v>
                </c:pt>
                <c:pt idx="207">
                  <c:v>46083</c:v>
                </c:pt>
                <c:pt idx="208">
                  <c:v>46084</c:v>
                </c:pt>
                <c:pt idx="209">
                  <c:v>46085</c:v>
                </c:pt>
                <c:pt idx="210">
                  <c:v>46086</c:v>
                </c:pt>
                <c:pt idx="211">
                  <c:v>46087</c:v>
                </c:pt>
                <c:pt idx="212">
                  <c:v>46090</c:v>
                </c:pt>
                <c:pt idx="213">
                  <c:v>46091</c:v>
                </c:pt>
                <c:pt idx="214">
                  <c:v>46092</c:v>
                </c:pt>
                <c:pt idx="215">
                  <c:v>46093</c:v>
                </c:pt>
                <c:pt idx="216">
                  <c:v>46094</c:v>
                </c:pt>
                <c:pt idx="217">
                  <c:v>46097</c:v>
                </c:pt>
                <c:pt idx="218">
                  <c:v>46098</c:v>
                </c:pt>
                <c:pt idx="219">
                  <c:v>46099</c:v>
                </c:pt>
                <c:pt idx="220">
                  <c:v>46100</c:v>
                </c:pt>
                <c:pt idx="221">
                  <c:v>46101</c:v>
                </c:pt>
                <c:pt idx="222">
                  <c:v>46104</c:v>
                </c:pt>
                <c:pt idx="223">
                  <c:v>46105</c:v>
                </c:pt>
                <c:pt idx="224">
                  <c:v>46106</c:v>
                </c:pt>
                <c:pt idx="225">
                  <c:v>46107</c:v>
                </c:pt>
                <c:pt idx="226">
                  <c:v>46108</c:v>
                </c:pt>
                <c:pt idx="227">
                  <c:v>46111</c:v>
                </c:pt>
                <c:pt idx="228">
                  <c:v>46112</c:v>
                </c:pt>
                <c:pt idx="229">
                  <c:v>46113</c:v>
                </c:pt>
                <c:pt idx="230">
                  <c:v>46114</c:v>
                </c:pt>
                <c:pt idx="231">
                  <c:v>46119</c:v>
                </c:pt>
                <c:pt idx="232">
                  <c:v>46120</c:v>
                </c:pt>
                <c:pt idx="233">
                  <c:v>46121</c:v>
                </c:pt>
                <c:pt idx="234">
                  <c:v>46122</c:v>
                </c:pt>
              </c:numCache>
            </c:numRef>
          </c:cat>
          <c:val>
            <c:numRef>
              <c:f>obliczenia!$R$6:$R$240</c:f>
              <c:numCache>
                <c:formatCode>General</c:formatCode>
                <c:ptCount val="235"/>
                <c:pt idx="1">
                  <c:v>-2.4288498877784004E-2</c:v>
                </c:pt>
                <c:pt idx="2">
                  <c:v>-2.5230959109584228E-2</c:v>
                </c:pt>
                <c:pt idx="3">
                  <c:v>1.2729986727998568E-2</c:v>
                </c:pt>
                <c:pt idx="4">
                  <c:v>8.3012765920176933E-3</c:v>
                </c:pt>
                <c:pt idx="5">
                  <c:v>3.4694807556242914E-2</c:v>
                </c:pt>
                <c:pt idx="6">
                  <c:v>6.2101150678955819E-3</c:v>
                </c:pt>
                <c:pt idx="7">
                  <c:v>2.9028161800862878E-3</c:v>
                </c:pt>
                <c:pt idx="8">
                  <c:v>-1.6067845793112036E-4</c:v>
                </c:pt>
                <c:pt idx="9">
                  <c:v>-8.402528894643083E-3</c:v>
                </c:pt>
                <c:pt idx="10">
                  <c:v>3.4241440455415016E-3</c:v>
                </c:pt>
                <c:pt idx="11">
                  <c:v>-1.5920346123693405E-2</c:v>
                </c:pt>
                <c:pt idx="12">
                  <c:v>4.5581632516525639E-3</c:v>
                </c:pt>
                <c:pt idx="13">
                  <c:v>-8.2061778527629681E-3</c:v>
                </c:pt>
                <c:pt idx="14">
                  <c:v>-3.3965950644931804E-3</c:v>
                </c:pt>
                <c:pt idx="15">
                  <c:v>-1.2588439559597764E-2</c:v>
                </c:pt>
                <c:pt idx="16">
                  <c:v>3.4019923638763383E-2</c:v>
                </c:pt>
                <c:pt idx="17">
                  <c:v>1.2989385104948313E-2</c:v>
                </c:pt>
                <c:pt idx="18">
                  <c:v>9.4101714620304332E-3</c:v>
                </c:pt>
                <c:pt idx="19">
                  <c:v>-1.738643613900636E-2</c:v>
                </c:pt>
                <c:pt idx="20">
                  <c:v>-1.6867880378401031E-2</c:v>
                </c:pt>
                <c:pt idx="21">
                  <c:v>-1.856523902354807E-2</c:v>
                </c:pt>
                <c:pt idx="22">
                  <c:v>-2.0798838571987121E-2</c:v>
                </c:pt>
                <c:pt idx="23">
                  <c:v>7.213101500130395E-3</c:v>
                </c:pt>
                <c:pt idx="24">
                  <c:v>-2.0555919802962643E-2</c:v>
                </c:pt>
                <c:pt idx="25">
                  <c:v>-1.4376777746354218E-2</c:v>
                </c:pt>
                <c:pt idx="26">
                  <c:v>1.5362181736774536E-2</c:v>
                </c:pt>
                <c:pt idx="27">
                  <c:v>2.2379719662977322E-2</c:v>
                </c:pt>
                <c:pt idx="28">
                  <c:v>-1.3422083229405605E-2</c:v>
                </c:pt>
                <c:pt idx="29">
                  <c:v>-2.8980299718744116E-3</c:v>
                </c:pt>
                <c:pt idx="30">
                  <c:v>-2.1155293894612747E-2</c:v>
                </c:pt>
                <c:pt idx="31">
                  <c:v>1.7903391141891852E-3</c:v>
                </c:pt>
                <c:pt idx="32">
                  <c:v>-8.9658154391422575E-4</c:v>
                </c:pt>
                <c:pt idx="33">
                  <c:v>-7.4402196234723854E-3</c:v>
                </c:pt>
                <c:pt idx="34">
                  <c:v>4.852205119903993E-3</c:v>
                </c:pt>
                <c:pt idx="35">
                  <c:v>-3.3814480449246134E-2</c:v>
                </c:pt>
                <c:pt idx="36">
                  <c:v>5.2808880936163899E-2</c:v>
                </c:pt>
                <c:pt idx="37">
                  <c:v>-1.3728661646128026E-2</c:v>
                </c:pt>
                <c:pt idx="38">
                  <c:v>1.9611484686159131E-2</c:v>
                </c:pt>
                <c:pt idx="39">
                  <c:v>8.0001088376752821E-3</c:v>
                </c:pt>
                <c:pt idx="40">
                  <c:v>2.4134063135997186E-2</c:v>
                </c:pt>
                <c:pt idx="41">
                  <c:v>-1.070135678494055E-2</c:v>
                </c:pt>
                <c:pt idx="42">
                  <c:v>3.5535977768593975E-3</c:v>
                </c:pt>
                <c:pt idx="43">
                  <c:v>3.4795486195755398E-2</c:v>
                </c:pt>
                <c:pt idx="44">
                  <c:v>-1.7824222314992946E-2</c:v>
                </c:pt>
                <c:pt idx="45">
                  <c:v>4.6266286489570893E-3</c:v>
                </c:pt>
                <c:pt idx="46">
                  <c:v>1.4086051072478484E-2</c:v>
                </c:pt>
                <c:pt idx="47">
                  <c:v>4.0391399081091978E-3</c:v>
                </c:pt>
                <c:pt idx="48">
                  <c:v>-2.9580374004988731E-2</c:v>
                </c:pt>
                <c:pt idx="49">
                  <c:v>-5.3270593980655652E-3</c:v>
                </c:pt>
                <c:pt idx="50">
                  <c:v>2.9999249132516169E-3</c:v>
                </c:pt>
                <c:pt idx="51">
                  <c:v>-1.9303233233697763E-3</c:v>
                </c:pt>
                <c:pt idx="52">
                  <c:v>6.0384289293042058E-3</c:v>
                </c:pt>
                <c:pt idx="53">
                  <c:v>3.3380789112141263E-2</c:v>
                </c:pt>
                <c:pt idx="54">
                  <c:v>2.7792118272973829E-2</c:v>
                </c:pt>
                <c:pt idx="55">
                  <c:v>-7.0653543169546138E-3</c:v>
                </c:pt>
                <c:pt idx="56">
                  <c:v>-1.0762375746821071E-2</c:v>
                </c:pt>
                <c:pt idx="57">
                  <c:v>8.0712642646390935E-3</c:v>
                </c:pt>
                <c:pt idx="58">
                  <c:v>2.3668944725519784E-2</c:v>
                </c:pt>
                <c:pt idx="59">
                  <c:v>9.2371214826541276E-3</c:v>
                </c:pt>
                <c:pt idx="60">
                  <c:v>-1.8557469608651372E-2</c:v>
                </c:pt>
                <c:pt idx="61">
                  <c:v>1.8990331166837088E-2</c:v>
                </c:pt>
                <c:pt idx="62">
                  <c:v>7.1616500282628975E-3</c:v>
                </c:pt>
                <c:pt idx="63">
                  <c:v>-3.4018670884683475E-3</c:v>
                </c:pt>
                <c:pt idx="64">
                  <c:v>-2.5600406400353121E-2</c:v>
                </c:pt>
                <c:pt idx="65">
                  <c:v>2.0279780175637811E-2</c:v>
                </c:pt>
                <c:pt idx="66">
                  <c:v>-1.4037250760385029E-2</c:v>
                </c:pt>
                <c:pt idx="67">
                  <c:v>4.713270252602432E-2</c:v>
                </c:pt>
                <c:pt idx="68">
                  <c:v>4.4606385305067699E-2</c:v>
                </c:pt>
                <c:pt idx="69">
                  <c:v>1.8744788883806686E-2</c:v>
                </c:pt>
                <c:pt idx="70">
                  <c:v>4.2691699694473026E-3</c:v>
                </c:pt>
                <c:pt idx="71">
                  <c:v>8.8620963135298114E-3</c:v>
                </c:pt>
                <c:pt idx="72">
                  <c:v>6.0879169160487391E-3</c:v>
                </c:pt>
                <c:pt idx="73">
                  <c:v>-1.5512697042297425E-2</c:v>
                </c:pt>
                <c:pt idx="74">
                  <c:v>-3.4216096290565201E-4</c:v>
                </c:pt>
                <c:pt idx="75">
                  <c:v>8.6232325664202612E-3</c:v>
                </c:pt>
                <c:pt idx="76">
                  <c:v>-7.0148290571455003E-3</c:v>
                </c:pt>
                <c:pt idx="77">
                  <c:v>1.0501831350189283E-2</c:v>
                </c:pt>
                <c:pt idx="78">
                  <c:v>-9.5276632061593536E-2</c:v>
                </c:pt>
                <c:pt idx="79">
                  <c:v>1.5715966129953393E-2</c:v>
                </c:pt>
                <c:pt idx="80">
                  <c:v>5.8812989091756402E-3</c:v>
                </c:pt>
                <c:pt idx="81">
                  <c:v>-2.4479386037100492E-2</c:v>
                </c:pt>
                <c:pt idx="82">
                  <c:v>-6.447226134600928E-3</c:v>
                </c:pt>
                <c:pt idx="83">
                  <c:v>-2.6704706743795444E-2</c:v>
                </c:pt>
                <c:pt idx="84">
                  <c:v>-1.0108755745707564E-2</c:v>
                </c:pt>
                <c:pt idx="85">
                  <c:v>6.2235771508278121E-4</c:v>
                </c:pt>
                <c:pt idx="86">
                  <c:v>-7.509956205530913E-4</c:v>
                </c:pt>
                <c:pt idx="87">
                  <c:v>2.6796719561723241E-2</c:v>
                </c:pt>
                <c:pt idx="88">
                  <c:v>-1.9851520530927383E-2</c:v>
                </c:pt>
                <c:pt idx="89">
                  <c:v>2.9685716302200765E-2</c:v>
                </c:pt>
                <c:pt idx="90">
                  <c:v>-1.1782912645208352E-2</c:v>
                </c:pt>
                <c:pt idx="91">
                  <c:v>-1.7738215471487868E-2</c:v>
                </c:pt>
                <c:pt idx="92">
                  <c:v>2.2551720816628245E-2</c:v>
                </c:pt>
                <c:pt idx="93">
                  <c:v>-9.7396768869178942E-3</c:v>
                </c:pt>
                <c:pt idx="94">
                  <c:v>1.731937475905259E-2</c:v>
                </c:pt>
                <c:pt idx="95">
                  <c:v>-2.1885171098498725E-2</c:v>
                </c:pt>
                <c:pt idx="96">
                  <c:v>-1.5157362902936855E-3</c:v>
                </c:pt>
                <c:pt idx="97">
                  <c:v>8.6669654438812013E-3</c:v>
                </c:pt>
                <c:pt idx="98">
                  <c:v>1.6657149502352772E-4</c:v>
                </c:pt>
                <c:pt idx="99">
                  <c:v>-2.3204187045778715E-2</c:v>
                </c:pt>
                <c:pt idx="100">
                  <c:v>1.0669239761655267E-2</c:v>
                </c:pt>
                <c:pt idx="101">
                  <c:v>-4.3359130558641495E-3</c:v>
                </c:pt>
                <c:pt idx="102">
                  <c:v>-2.3171923743412322E-2</c:v>
                </c:pt>
                <c:pt idx="103">
                  <c:v>2.9011508396035442E-2</c:v>
                </c:pt>
                <c:pt idx="104">
                  <c:v>-5.8691907481731621E-3</c:v>
                </c:pt>
                <c:pt idx="105">
                  <c:v>-1.2266902629982034E-3</c:v>
                </c:pt>
                <c:pt idx="106">
                  <c:v>1.1071046305505112E-2</c:v>
                </c:pt>
                <c:pt idx="107">
                  <c:v>2.2922198924221433E-2</c:v>
                </c:pt>
                <c:pt idx="108">
                  <c:v>3.2910974452743185E-4</c:v>
                </c:pt>
                <c:pt idx="109">
                  <c:v>-2.1899537330115945E-2</c:v>
                </c:pt>
                <c:pt idx="110">
                  <c:v>1.6424589989940352E-2</c:v>
                </c:pt>
                <c:pt idx="111">
                  <c:v>-5.8648740144854987E-3</c:v>
                </c:pt>
                <c:pt idx="112">
                  <c:v>7.8997062829623335E-3</c:v>
                </c:pt>
                <c:pt idx="113">
                  <c:v>3.518066047672865E-3</c:v>
                </c:pt>
                <c:pt idx="114">
                  <c:v>-8.7875181080294233E-3</c:v>
                </c:pt>
                <c:pt idx="115">
                  <c:v>-4.0080123848472834E-3</c:v>
                </c:pt>
                <c:pt idx="116">
                  <c:v>2.4720815585508718E-2</c:v>
                </c:pt>
                <c:pt idx="117">
                  <c:v>-1.2142562345961085E-2</c:v>
                </c:pt>
                <c:pt idx="118">
                  <c:v>-1.2758724061784415E-2</c:v>
                </c:pt>
                <c:pt idx="119">
                  <c:v>2.1398704352988875E-2</c:v>
                </c:pt>
                <c:pt idx="120">
                  <c:v>8.9264888843275225E-3</c:v>
                </c:pt>
                <c:pt idx="121">
                  <c:v>1.9570637343278206E-2</c:v>
                </c:pt>
                <c:pt idx="122">
                  <c:v>3.7128535334617699E-3</c:v>
                </c:pt>
                <c:pt idx="123">
                  <c:v>-3.3544154652837572E-3</c:v>
                </c:pt>
                <c:pt idx="124">
                  <c:v>7.0225097533834734E-3</c:v>
                </c:pt>
                <c:pt idx="125">
                  <c:v>3.0792042892149121E-2</c:v>
                </c:pt>
                <c:pt idx="126">
                  <c:v>-9.7945082171271998E-4</c:v>
                </c:pt>
                <c:pt idx="127">
                  <c:v>-2.4156710708652704E-2</c:v>
                </c:pt>
                <c:pt idx="128">
                  <c:v>-3.082360482196829E-2</c:v>
                </c:pt>
                <c:pt idx="129">
                  <c:v>2.2442732685357559E-2</c:v>
                </c:pt>
                <c:pt idx="130">
                  <c:v>-4.3636704822889684E-3</c:v>
                </c:pt>
                <c:pt idx="131">
                  <c:v>-1.2779673195781577E-2</c:v>
                </c:pt>
                <c:pt idx="132">
                  <c:v>9.5538841899792688E-3</c:v>
                </c:pt>
                <c:pt idx="133">
                  <c:v>1.0539981495382513E-2</c:v>
                </c:pt>
                <c:pt idx="134">
                  <c:v>9.3230856212495501E-3</c:v>
                </c:pt>
                <c:pt idx="135">
                  <c:v>3.1722461016414141E-3</c:v>
                </c:pt>
                <c:pt idx="136">
                  <c:v>1.8525939498339852E-3</c:v>
                </c:pt>
                <c:pt idx="137">
                  <c:v>-9.4803778698193675E-3</c:v>
                </c:pt>
                <c:pt idx="138">
                  <c:v>-9.6643625127669358E-3</c:v>
                </c:pt>
                <c:pt idx="139">
                  <c:v>-1.6798193451526174E-2</c:v>
                </c:pt>
                <c:pt idx="140">
                  <c:v>2.35419987398914E-2</c:v>
                </c:pt>
                <c:pt idx="141">
                  <c:v>-5.7773664001782576E-3</c:v>
                </c:pt>
                <c:pt idx="142">
                  <c:v>-1.5939359184997288E-2</c:v>
                </c:pt>
                <c:pt idx="143">
                  <c:v>6.911587621865241E-3</c:v>
                </c:pt>
                <c:pt idx="144">
                  <c:v>1.041489044461889E-2</c:v>
                </c:pt>
                <c:pt idx="145">
                  <c:v>2.0029728484751833E-2</c:v>
                </c:pt>
                <c:pt idx="146">
                  <c:v>-3.9853416740133017E-3</c:v>
                </c:pt>
                <c:pt idx="147">
                  <c:v>-6.2263625720173641E-3</c:v>
                </c:pt>
                <c:pt idx="148">
                  <c:v>1.7404003081274611E-3</c:v>
                </c:pt>
                <c:pt idx="149">
                  <c:v>-1.9778249489505986E-2</c:v>
                </c:pt>
                <c:pt idx="150">
                  <c:v>-5.5762069056305786E-3</c:v>
                </c:pt>
                <c:pt idx="151">
                  <c:v>4.6355708596048529E-3</c:v>
                </c:pt>
                <c:pt idx="152">
                  <c:v>-3.3842827896554874E-3</c:v>
                </c:pt>
                <c:pt idx="153">
                  <c:v>4.6974906567165131E-3</c:v>
                </c:pt>
                <c:pt idx="154">
                  <c:v>1.8432607835044051E-2</c:v>
                </c:pt>
                <c:pt idx="155">
                  <c:v>1.1552350065064461E-3</c:v>
                </c:pt>
                <c:pt idx="156">
                  <c:v>1.3464080823227295E-2</c:v>
                </c:pt>
                <c:pt idx="157">
                  <c:v>1.27930364141576E-3</c:v>
                </c:pt>
                <c:pt idx="158">
                  <c:v>2.1427481785361746E-2</c:v>
                </c:pt>
                <c:pt idx="159">
                  <c:v>-9.7881337585727646E-3</c:v>
                </c:pt>
                <c:pt idx="160">
                  <c:v>-9.3926385658776902E-3</c:v>
                </c:pt>
                <c:pt idx="161">
                  <c:v>5.9585869628657464E-3</c:v>
                </c:pt>
                <c:pt idx="162">
                  <c:v>2.7531842246186662E-2</c:v>
                </c:pt>
                <c:pt idx="163">
                  <c:v>5.394558466749554E-4</c:v>
                </c:pt>
                <c:pt idx="164">
                  <c:v>-2.4463564105058969E-3</c:v>
                </c:pt>
                <c:pt idx="165">
                  <c:v>-4.376641931772186E-3</c:v>
                </c:pt>
                <c:pt idx="166">
                  <c:v>4.9617096434853101E-3</c:v>
                </c:pt>
                <c:pt idx="167">
                  <c:v>3.2484027887652693E-2</c:v>
                </c:pt>
                <c:pt idx="168">
                  <c:v>-1.2431724106046255E-2</c:v>
                </c:pt>
                <c:pt idx="169">
                  <c:v>1.6887663770498544E-2</c:v>
                </c:pt>
                <c:pt idx="170">
                  <c:v>-2.1900540455359815E-2</c:v>
                </c:pt>
                <c:pt idx="171">
                  <c:v>-5.6274923786754985E-3</c:v>
                </c:pt>
                <c:pt idx="172">
                  <c:v>8.7375786481552701E-3</c:v>
                </c:pt>
                <c:pt idx="173">
                  <c:v>-1.0417035495800558E-2</c:v>
                </c:pt>
                <c:pt idx="174">
                  <c:v>-1.855522256003345E-2</c:v>
                </c:pt>
                <c:pt idx="175">
                  <c:v>2.3475009278810769E-3</c:v>
                </c:pt>
                <c:pt idx="176">
                  <c:v>-5.0578843361537259E-3</c:v>
                </c:pt>
                <c:pt idx="177">
                  <c:v>-4.6546881859014589E-3</c:v>
                </c:pt>
                <c:pt idx="178">
                  <c:v>3.0170654191952629E-3</c:v>
                </c:pt>
                <c:pt idx="179">
                  <c:v>-3.1326789391302907E-3</c:v>
                </c:pt>
                <c:pt idx="180">
                  <c:v>2.7947007890788567E-2</c:v>
                </c:pt>
                <c:pt idx="181">
                  <c:v>-1.8560526127481412E-2</c:v>
                </c:pt>
                <c:pt idx="182">
                  <c:v>1.5080908552822899E-2</c:v>
                </c:pt>
                <c:pt idx="183">
                  <c:v>1.6050303869330186E-2</c:v>
                </c:pt>
                <c:pt idx="184">
                  <c:v>-8.843718299402328E-3</c:v>
                </c:pt>
                <c:pt idx="185">
                  <c:v>-1.4017857039694019E-2</c:v>
                </c:pt>
                <c:pt idx="186">
                  <c:v>2.305977369899076E-2</c:v>
                </c:pt>
                <c:pt idx="187">
                  <c:v>1.7357406040366938E-2</c:v>
                </c:pt>
                <c:pt idx="188">
                  <c:v>4.4596524324279171E-2</c:v>
                </c:pt>
                <c:pt idx="189">
                  <c:v>-3.2672266634541135E-3</c:v>
                </c:pt>
                <c:pt idx="190">
                  <c:v>-2.1605032130080581E-2</c:v>
                </c:pt>
                <c:pt idx="191">
                  <c:v>1.5034139010108335E-3</c:v>
                </c:pt>
                <c:pt idx="192">
                  <c:v>1.6587884864927752E-2</c:v>
                </c:pt>
                <c:pt idx="193">
                  <c:v>-8.4126856210096253E-3</c:v>
                </c:pt>
                <c:pt idx="194">
                  <c:v>-1.04729199904773E-2</c:v>
                </c:pt>
                <c:pt idx="195">
                  <c:v>6.7502362918574485E-3</c:v>
                </c:pt>
                <c:pt idx="196">
                  <c:v>-4.1197320288068287E-2</c:v>
                </c:pt>
                <c:pt idx="197">
                  <c:v>6.9936232393892506E-3</c:v>
                </c:pt>
                <c:pt idx="198">
                  <c:v>3.8822743784774532E-3</c:v>
                </c:pt>
                <c:pt idx="199">
                  <c:v>1.4127785408947118E-2</c:v>
                </c:pt>
                <c:pt idx="200">
                  <c:v>2.8668980210458019E-3</c:v>
                </c:pt>
                <c:pt idx="201">
                  <c:v>5.2602994071042301E-3</c:v>
                </c:pt>
                <c:pt idx="202">
                  <c:v>1.1126899250445126E-2</c:v>
                </c:pt>
                <c:pt idx="203">
                  <c:v>-1.9368416719353118E-2</c:v>
                </c:pt>
                <c:pt idx="204">
                  <c:v>1.223929433767461E-2</c:v>
                </c:pt>
                <c:pt idx="205">
                  <c:v>-6.9868679267040034E-3</c:v>
                </c:pt>
                <c:pt idx="206">
                  <c:v>-1.5255656829049178E-2</c:v>
                </c:pt>
                <c:pt idx="207">
                  <c:v>-2.9689207671476363E-2</c:v>
                </c:pt>
                <c:pt idx="208">
                  <c:v>-5.3545523305798814E-2</c:v>
                </c:pt>
                <c:pt idx="209">
                  <c:v>3.156852542493549E-2</c:v>
                </c:pt>
                <c:pt idx="210">
                  <c:v>-1.1777959198815983E-3</c:v>
                </c:pt>
                <c:pt idx="211">
                  <c:v>-3.5024694824293615E-2</c:v>
                </c:pt>
                <c:pt idx="212">
                  <c:v>1.7339163404203474E-3</c:v>
                </c:pt>
                <c:pt idx="213">
                  <c:v>2.7011751529634757E-2</c:v>
                </c:pt>
                <c:pt idx="214">
                  <c:v>-3.2288480878030759E-3</c:v>
                </c:pt>
                <c:pt idx="215">
                  <c:v>-1.0610831202568321E-2</c:v>
                </c:pt>
                <c:pt idx="216">
                  <c:v>-2.5197974127525954E-4</c:v>
                </c:pt>
                <c:pt idx="217">
                  <c:v>2.3947421485420214E-2</c:v>
                </c:pt>
                <c:pt idx="218">
                  <c:v>2.627293864780067E-2</c:v>
                </c:pt>
                <c:pt idx="219">
                  <c:v>-1.0286073443595541E-3</c:v>
                </c:pt>
                <c:pt idx="220">
                  <c:v>-1.1371335299755236E-2</c:v>
                </c:pt>
                <c:pt idx="221">
                  <c:v>-1.7577280023382887E-2</c:v>
                </c:pt>
                <c:pt idx="222">
                  <c:v>2.0734979068890054E-2</c:v>
                </c:pt>
                <c:pt idx="223">
                  <c:v>-1.4666493322760906E-2</c:v>
                </c:pt>
                <c:pt idx="224">
                  <c:v>2.0270405491113232E-2</c:v>
                </c:pt>
                <c:pt idx="225">
                  <c:v>-1.1757297539980757E-3</c:v>
                </c:pt>
                <c:pt idx="226">
                  <c:v>6.4214632070969356E-3</c:v>
                </c:pt>
                <c:pt idx="227">
                  <c:v>-9.6376909687864304E-3</c:v>
                </c:pt>
                <c:pt idx="228">
                  <c:v>1.366793759284309E-2</c:v>
                </c:pt>
                <c:pt idx="229">
                  <c:v>4.5070540049116675E-2</c:v>
                </c:pt>
                <c:pt idx="230">
                  <c:v>5.4659878086591234E-3</c:v>
                </c:pt>
                <c:pt idx="231">
                  <c:v>-8.9442932162644561E-4</c:v>
                </c:pt>
                <c:pt idx="232">
                  <c:v>7.4985164512325841E-2</c:v>
                </c:pt>
                <c:pt idx="233">
                  <c:v>-7.0304085500370872E-3</c:v>
                </c:pt>
                <c:pt idx="234">
                  <c:v>2.8246819383644622E-2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8-484C-B657-77A564DBA528}"/>
            </c:ext>
          </c:extLst>
        </c:ser>
        <c:ser>
          <c:idx val="0"/>
          <c:order val="1"/>
          <c:tx>
            <c:strRef>
              <c:f>obliczenia!$Q$5</c:f>
              <c:strCache>
                <c:ptCount val="1"/>
                <c:pt idx="0">
                  <c:v>Portfel A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obliczenia!$P$6:$P$240</c:f>
              <c:numCache>
                <c:formatCode>m/d/yyyy</c:formatCode>
                <c:ptCount val="235"/>
                <c:pt idx="0">
                  <c:v>45779</c:v>
                </c:pt>
                <c:pt idx="1">
                  <c:v>45782</c:v>
                </c:pt>
                <c:pt idx="2">
                  <c:v>45783</c:v>
                </c:pt>
                <c:pt idx="3">
                  <c:v>45784</c:v>
                </c:pt>
                <c:pt idx="4">
                  <c:v>45785</c:v>
                </c:pt>
                <c:pt idx="5">
                  <c:v>45786</c:v>
                </c:pt>
                <c:pt idx="6">
                  <c:v>45789</c:v>
                </c:pt>
                <c:pt idx="7">
                  <c:v>45790</c:v>
                </c:pt>
                <c:pt idx="8">
                  <c:v>45791</c:v>
                </c:pt>
                <c:pt idx="9">
                  <c:v>45792</c:v>
                </c:pt>
                <c:pt idx="10">
                  <c:v>45793</c:v>
                </c:pt>
                <c:pt idx="11">
                  <c:v>45796</c:v>
                </c:pt>
                <c:pt idx="12">
                  <c:v>45797</c:v>
                </c:pt>
                <c:pt idx="13">
                  <c:v>45798</c:v>
                </c:pt>
                <c:pt idx="14">
                  <c:v>45799</c:v>
                </c:pt>
                <c:pt idx="15">
                  <c:v>45800</c:v>
                </c:pt>
                <c:pt idx="16">
                  <c:v>45803</c:v>
                </c:pt>
                <c:pt idx="17">
                  <c:v>45804</c:v>
                </c:pt>
                <c:pt idx="18">
                  <c:v>45805</c:v>
                </c:pt>
                <c:pt idx="19">
                  <c:v>45806</c:v>
                </c:pt>
                <c:pt idx="20">
                  <c:v>45807</c:v>
                </c:pt>
                <c:pt idx="21">
                  <c:v>45810</c:v>
                </c:pt>
                <c:pt idx="22">
                  <c:v>45811</c:v>
                </c:pt>
                <c:pt idx="23">
                  <c:v>45812</c:v>
                </c:pt>
                <c:pt idx="24">
                  <c:v>45813</c:v>
                </c:pt>
                <c:pt idx="25">
                  <c:v>45814</c:v>
                </c:pt>
                <c:pt idx="26">
                  <c:v>45817</c:v>
                </c:pt>
                <c:pt idx="27">
                  <c:v>45818</c:v>
                </c:pt>
                <c:pt idx="28">
                  <c:v>45819</c:v>
                </c:pt>
                <c:pt idx="29">
                  <c:v>45820</c:v>
                </c:pt>
                <c:pt idx="30">
                  <c:v>45821</c:v>
                </c:pt>
                <c:pt idx="31">
                  <c:v>45824</c:v>
                </c:pt>
                <c:pt idx="32">
                  <c:v>45825</c:v>
                </c:pt>
                <c:pt idx="33">
                  <c:v>45826</c:v>
                </c:pt>
                <c:pt idx="34">
                  <c:v>45828</c:v>
                </c:pt>
                <c:pt idx="35">
                  <c:v>45831</c:v>
                </c:pt>
                <c:pt idx="36">
                  <c:v>45832</c:v>
                </c:pt>
                <c:pt idx="37">
                  <c:v>45833</c:v>
                </c:pt>
                <c:pt idx="38">
                  <c:v>45834</c:v>
                </c:pt>
                <c:pt idx="39">
                  <c:v>45835</c:v>
                </c:pt>
                <c:pt idx="40">
                  <c:v>45838</c:v>
                </c:pt>
                <c:pt idx="41">
                  <c:v>45839</c:v>
                </c:pt>
                <c:pt idx="42">
                  <c:v>45840</c:v>
                </c:pt>
                <c:pt idx="43">
                  <c:v>45841</c:v>
                </c:pt>
                <c:pt idx="44">
                  <c:v>45842</c:v>
                </c:pt>
                <c:pt idx="45">
                  <c:v>45845</c:v>
                </c:pt>
                <c:pt idx="46">
                  <c:v>45846</c:v>
                </c:pt>
                <c:pt idx="47">
                  <c:v>45847</c:v>
                </c:pt>
                <c:pt idx="48">
                  <c:v>45848</c:v>
                </c:pt>
                <c:pt idx="49">
                  <c:v>45849</c:v>
                </c:pt>
                <c:pt idx="50">
                  <c:v>45852</c:v>
                </c:pt>
                <c:pt idx="51">
                  <c:v>45853</c:v>
                </c:pt>
                <c:pt idx="52">
                  <c:v>45854</c:v>
                </c:pt>
                <c:pt idx="53">
                  <c:v>45855</c:v>
                </c:pt>
                <c:pt idx="54">
                  <c:v>45856</c:v>
                </c:pt>
                <c:pt idx="55">
                  <c:v>45859</c:v>
                </c:pt>
                <c:pt idx="56">
                  <c:v>45860</c:v>
                </c:pt>
                <c:pt idx="57">
                  <c:v>45861</c:v>
                </c:pt>
                <c:pt idx="58">
                  <c:v>45862</c:v>
                </c:pt>
                <c:pt idx="59">
                  <c:v>45863</c:v>
                </c:pt>
                <c:pt idx="60">
                  <c:v>45866</c:v>
                </c:pt>
                <c:pt idx="61">
                  <c:v>45867</c:v>
                </c:pt>
                <c:pt idx="62">
                  <c:v>45868</c:v>
                </c:pt>
                <c:pt idx="63">
                  <c:v>45869</c:v>
                </c:pt>
                <c:pt idx="64">
                  <c:v>45870</c:v>
                </c:pt>
                <c:pt idx="65">
                  <c:v>45873</c:v>
                </c:pt>
                <c:pt idx="66">
                  <c:v>45874</c:v>
                </c:pt>
                <c:pt idx="67">
                  <c:v>45875</c:v>
                </c:pt>
                <c:pt idx="68">
                  <c:v>45876</c:v>
                </c:pt>
                <c:pt idx="69">
                  <c:v>45877</c:v>
                </c:pt>
                <c:pt idx="70">
                  <c:v>45880</c:v>
                </c:pt>
                <c:pt idx="71">
                  <c:v>45881</c:v>
                </c:pt>
                <c:pt idx="72">
                  <c:v>45882</c:v>
                </c:pt>
                <c:pt idx="73">
                  <c:v>45883</c:v>
                </c:pt>
                <c:pt idx="74">
                  <c:v>45887</c:v>
                </c:pt>
                <c:pt idx="75">
                  <c:v>45888</c:v>
                </c:pt>
                <c:pt idx="76">
                  <c:v>45889</c:v>
                </c:pt>
                <c:pt idx="77">
                  <c:v>45890</c:v>
                </c:pt>
                <c:pt idx="78">
                  <c:v>45891</c:v>
                </c:pt>
                <c:pt idx="79">
                  <c:v>45894</c:v>
                </c:pt>
                <c:pt idx="80">
                  <c:v>45895</c:v>
                </c:pt>
                <c:pt idx="81">
                  <c:v>45896</c:v>
                </c:pt>
                <c:pt idx="82">
                  <c:v>45897</c:v>
                </c:pt>
                <c:pt idx="83">
                  <c:v>45898</c:v>
                </c:pt>
                <c:pt idx="84">
                  <c:v>45901</c:v>
                </c:pt>
                <c:pt idx="85">
                  <c:v>45902</c:v>
                </c:pt>
                <c:pt idx="86">
                  <c:v>45903</c:v>
                </c:pt>
                <c:pt idx="87">
                  <c:v>45904</c:v>
                </c:pt>
                <c:pt idx="88">
                  <c:v>45905</c:v>
                </c:pt>
                <c:pt idx="89">
                  <c:v>45908</c:v>
                </c:pt>
                <c:pt idx="90">
                  <c:v>45909</c:v>
                </c:pt>
                <c:pt idx="91">
                  <c:v>45910</c:v>
                </c:pt>
                <c:pt idx="92">
                  <c:v>45911</c:v>
                </c:pt>
                <c:pt idx="93">
                  <c:v>45912</c:v>
                </c:pt>
                <c:pt idx="94">
                  <c:v>45915</c:v>
                </c:pt>
                <c:pt idx="95">
                  <c:v>45916</c:v>
                </c:pt>
                <c:pt idx="96">
                  <c:v>45917</c:v>
                </c:pt>
                <c:pt idx="97">
                  <c:v>45918</c:v>
                </c:pt>
                <c:pt idx="98">
                  <c:v>45919</c:v>
                </c:pt>
                <c:pt idx="99">
                  <c:v>45922</c:v>
                </c:pt>
                <c:pt idx="100">
                  <c:v>45923</c:v>
                </c:pt>
                <c:pt idx="101">
                  <c:v>45924</c:v>
                </c:pt>
                <c:pt idx="102">
                  <c:v>45925</c:v>
                </c:pt>
                <c:pt idx="103">
                  <c:v>45926</c:v>
                </c:pt>
                <c:pt idx="104">
                  <c:v>45929</c:v>
                </c:pt>
                <c:pt idx="105">
                  <c:v>45930</c:v>
                </c:pt>
                <c:pt idx="106">
                  <c:v>45931</c:v>
                </c:pt>
                <c:pt idx="107">
                  <c:v>45932</c:v>
                </c:pt>
                <c:pt idx="108">
                  <c:v>45933</c:v>
                </c:pt>
                <c:pt idx="109">
                  <c:v>45936</c:v>
                </c:pt>
                <c:pt idx="110">
                  <c:v>45937</c:v>
                </c:pt>
                <c:pt idx="111">
                  <c:v>45938</c:v>
                </c:pt>
                <c:pt idx="112">
                  <c:v>45939</c:v>
                </c:pt>
                <c:pt idx="113">
                  <c:v>45940</c:v>
                </c:pt>
                <c:pt idx="114">
                  <c:v>45943</c:v>
                </c:pt>
                <c:pt idx="115">
                  <c:v>45944</c:v>
                </c:pt>
                <c:pt idx="116">
                  <c:v>45945</c:v>
                </c:pt>
                <c:pt idx="117">
                  <c:v>45946</c:v>
                </c:pt>
                <c:pt idx="118">
                  <c:v>45947</c:v>
                </c:pt>
                <c:pt idx="119">
                  <c:v>45950</c:v>
                </c:pt>
                <c:pt idx="120">
                  <c:v>45951</c:v>
                </c:pt>
                <c:pt idx="121">
                  <c:v>45952</c:v>
                </c:pt>
                <c:pt idx="122">
                  <c:v>45953</c:v>
                </c:pt>
                <c:pt idx="123">
                  <c:v>45954</c:v>
                </c:pt>
                <c:pt idx="124">
                  <c:v>45957</c:v>
                </c:pt>
                <c:pt idx="125">
                  <c:v>45958</c:v>
                </c:pt>
                <c:pt idx="126">
                  <c:v>45959</c:v>
                </c:pt>
                <c:pt idx="127">
                  <c:v>45960</c:v>
                </c:pt>
                <c:pt idx="128">
                  <c:v>45961</c:v>
                </c:pt>
                <c:pt idx="129">
                  <c:v>45964</c:v>
                </c:pt>
                <c:pt idx="130">
                  <c:v>45965</c:v>
                </c:pt>
                <c:pt idx="131">
                  <c:v>45966</c:v>
                </c:pt>
                <c:pt idx="132">
                  <c:v>45967</c:v>
                </c:pt>
                <c:pt idx="133">
                  <c:v>45968</c:v>
                </c:pt>
                <c:pt idx="134">
                  <c:v>45971</c:v>
                </c:pt>
                <c:pt idx="135">
                  <c:v>45973</c:v>
                </c:pt>
                <c:pt idx="136">
                  <c:v>45974</c:v>
                </c:pt>
                <c:pt idx="137">
                  <c:v>45975</c:v>
                </c:pt>
                <c:pt idx="138">
                  <c:v>45978</c:v>
                </c:pt>
                <c:pt idx="139">
                  <c:v>45979</c:v>
                </c:pt>
                <c:pt idx="140">
                  <c:v>45980</c:v>
                </c:pt>
                <c:pt idx="141">
                  <c:v>45981</c:v>
                </c:pt>
                <c:pt idx="142">
                  <c:v>45982</c:v>
                </c:pt>
                <c:pt idx="143">
                  <c:v>45985</c:v>
                </c:pt>
                <c:pt idx="144">
                  <c:v>45986</c:v>
                </c:pt>
                <c:pt idx="145">
                  <c:v>45987</c:v>
                </c:pt>
                <c:pt idx="146">
                  <c:v>45988</c:v>
                </c:pt>
                <c:pt idx="147">
                  <c:v>45989</c:v>
                </c:pt>
                <c:pt idx="148">
                  <c:v>45992</c:v>
                </c:pt>
                <c:pt idx="149">
                  <c:v>45993</c:v>
                </c:pt>
                <c:pt idx="150">
                  <c:v>45994</c:v>
                </c:pt>
                <c:pt idx="151">
                  <c:v>45995</c:v>
                </c:pt>
                <c:pt idx="152">
                  <c:v>45996</c:v>
                </c:pt>
                <c:pt idx="153">
                  <c:v>45999</c:v>
                </c:pt>
                <c:pt idx="154">
                  <c:v>46000</c:v>
                </c:pt>
                <c:pt idx="155">
                  <c:v>46001</c:v>
                </c:pt>
                <c:pt idx="156">
                  <c:v>46002</c:v>
                </c:pt>
                <c:pt idx="157">
                  <c:v>46003</c:v>
                </c:pt>
                <c:pt idx="158">
                  <c:v>46006</c:v>
                </c:pt>
                <c:pt idx="159">
                  <c:v>46007</c:v>
                </c:pt>
                <c:pt idx="160">
                  <c:v>46008</c:v>
                </c:pt>
                <c:pt idx="161">
                  <c:v>46009</c:v>
                </c:pt>
                <c:pt idx="162">
                  <c:v>46010</c:v>
                </c:pt>
                <c:pt idx="163">
                  <c:v>46013</c:v>
                </c:pt>
                <c:pt idx="164">
                  <c:v>46014</c:v>
                </c:pt>
                <c:pt idx="165">
                  <c:v>46020</c:v>
                </c:pt>
                <c:pt idx="166">
                  <c:v>46021</c:v>
                </c:pt>
                <c:pt idx="167">
                  <c:v>46024</c:v>
                </c:pt>
                <c:pt idx="168">
                  <c:v>46027</c:v>
                </c:pt>
                <c:pt idx="169">
                  <c:v>46029</c:v>
                </c:pt>
                <c:pt idx="170">
                  <c:v>46030</c:v>
                </c:pt>
                <c:pt idx="171">
                  <c:v>46031</c:v>
                </c:pt>
                <c:pt idx="172">
                  <c:v>46034</c:v>
                </c:pt>
                <c:pt idx="173">
                  <c:v>46035</c:v>
                </c:pt>
                <c:pt idx="174">
                  <c:v>46036</c:v>
                </c:pt>
                <c:pt idx="175">
                  <c:v>46037</c:v>
                </c:pt>
                <c:pt idx="176">
                  <c:v>46038</c:v>
                </c:pt>
                <c:pt idx="177">
                  <c:v>46041</c:v>
                </c:pt>
                <c:pt idx="178">
                  <c:v>46042</c:v>
                </c:pt>
                <c:pt idx="179">
                  <c:v>46043</c:v>
                </c:pt>
                <c:pt idx="180">
                  <c:v>46044</c:v>
                </c:pt>
                <c:pt idx="181">
                  <c:v>46045</c:v>
                </c:pt>
                <c:pt idx="182">
                  <c:v>46048</c:v>
                </c:pt>
                <c:pt idx="183">
                  <c:v>46049</c:v>
                </c:pt>
                <c:pt idx="184">
                  <c:v>46050</c:v>
                </c:pt>
                <c:pt idx="185">
                  <c:v>46051</c:v>
                </c:pt>
                <c:pt idx="186">
                  <c:v>46052</c:v>
                </c:pt>
                <c:pt idx="187">
                  <c:v>46055</c:v>
                </c:pt>
                <c:pt idx="188">
                  <c:v>46056</c:v>
                </c:pt>
                <c:pt idx="189">
                  <c:v>46057</c:v>
                </c:pt>
                <c:pt idx="190">
                  <c:v>46058</c:v>
                </c:pt>
                <c:pt idx="191">
                  <c:v>46059</c:v>
                </c:pt>
                <c:pt idx="192">
                  <c:v>46062</c:v>
                </c:pt>
                <c:pt idx="193">
                  <c:v>46063</c:v>
                </c:pt>
                <c:pt idx="194">
                  <c:v>46064</c:v>
                </c:pt>
                <c:pt idx="195">
                  <c:v>46065</c:v>
                </c:pt>
                <c:pt idx="196">
                  <c:v>46066</c:v>
                </c:pt>
                <c:pt idx="197">
                  <c:v>46069</c:v>
                </c:pt>
                <c:pt idx="198">
                  <c:v>46070</c:v>
                </c:pt>
                <c:pt idx="199">
                  <c:v>46071</c:v>
                </c:pt>
                <c:pt idx="200">
                  <c:v>46072</c:v>
                </c:pt>
                <c:pt idx="201">
                  <c:v>46073</c:v>
                </c:pt>
                <c:pt idx="202">
                  <c:v>46076</c:v>
                </c:pt>
                <c:pt idx="203">
                  <c:v>46077</c:v>
                </c:pt>
                <c:pt idx="204">
                  <c:v>46078</c:v>
                </c:pt>
                <c:pt idx="205">
                  <c:v>46079</c:v>
                </c:pt>
                <c:pt idx="206">
                  <c:v>46080</c:v>
                </c:pt>
                <c:pt idx="207">
                  <c:v>46083</c:v>
                </c:pt>
                <c:pt idx="208">
                  <c:v>46084</c:v>
                </c:pt>
                <c:pt idx="209">
                  <c:v>46085</c:v>
                </c:pt>
                <c:pt idx="210">
                  <c:v>46086</c:v>
                </c:pt>
                <c:pt idx="211">
                  <c:v>46087</c:v>
                </c:pt>
                <c:pt idx="212">
                  <c:v>46090</c:v>
                </c:pt>
                <c:pt idx="213">
                  <c:v>46091</c:v>
                </c:pt>
                <c:pt idx="214">
                  <c:v>46092</c:v>
                </c:pt>
                <c:pt idx="215">
                  <c:v>46093</c:v>
                </c:pt>
                <c:pt idx="216">
                  <c:v>46094</c:v>
                </c:pt>
                <c:pt idx="217">
                  <c:v>46097</c:v>
                </c:pt>
                <c:pt idx="218">
                  <c:v>46098</c:v>
                </c:pt>
                <c:pt idx="219">
                  <c:v>46099</c:v>
                </c:pt>
                <c:pt idx="220">
                  <c:v>46100</c:v>
                </c:pt>
                <c:pt idx="221">
                  <c:v>46101</c:v>
                </c:pt>
                <c:pt idx="222">
                  <c:v>46104</c:v>
                </c:pt>
                <c:pt idx="223">
                  <c:v>46105</c:v>
                </c:pt>
                <c:pt idx="224">
                  <c:v>46106</c:v>
                </c:pt>
                <c:pt idx="225">
                  <c:v>46107</c:v>
                </c:pt>
                <c:pt idx="226">
                  <c:v>46108</c:v>
                </c:pt>
                <c:pt idx="227">
                  <c:v>46111</c:v>
                </c:pt>
                <c:pt idx="228">
                  <c:v>46112</c:v>
                </c:pt>
                <c:pt idx="229">
                  <c:v>46113</c:v>
                </c:pt>
                <c:pt idx="230">
                  <c:v>46114</c:v>
                </c:pt>
                <c:pt idx="231">
                  <c:v>46119</c:v>
                </c:pt>
                <c:pt idx="232">
                  <c:v>46120</c:v>
                </c:pt>
                <c:pt idx="233">
                  <c:v>46121</c:v>
                </c:pt>
                <c:pt idx="234">
                  <c:v>46122</c:v>
                </c:pt>
              </c:numCache>
            </c:numRef>
          </c:cat>
          <c:val>
            <c:numRef>
              <c:f>obliczenia!$Q$6:$Q$240</c:f>
              <c:numCache>
                <c:formatCode>General</c:formatCode>
                <c:ptCount val="235"/>
                <c:pt idx="1">
                  <c:v>-2.4178264907772737E-2</c:v>
                </c:pt>
                <c:pt idx="2">
                  <c:v>-2.4700994183638598E-2</c:v>
                </c:pt>
                <c:pt idx="3">
                  <c:v>1.2327989658903762E-2</c:v>
                </c:pt>
                <c:pt idx="4">
                  <c:v>7.6274543394469155E-3</c:v>
                </c:pt>
                <c:pt idx="5">
                  <c:v>3.5282008536001018E-2</c:v>
                </c:pt>
                <c:pt idx="6">
                  <c:v>6.2885667465735363E-3</c:v>
                </c:pt>
                <c:pt idx="7">
                  <c:v>8.8382329434663672E-3</c:v>
                </c:pt>
                <c:pt idx="8">
                  <c:v>1.0741904261760613E-3</c:v>
                </c:pt>
                <c:pt idx="9">
                  <c:v>-8.3234288212922034E-3</c:v>
                </c:pt>
                <c:pt idx="10">
                  <c:v>4.4175051912853291E-3</c:v>
                </c:pt>
                <c:pt idx="11">
                  <c:v>-2.0774572868608312E-2</c:v>
                </c:pt>
                <c:pt idx="12">
                  <c:v>6.977292163707286E-3</c:v>
                </c:pt>
                <c:pt idx="13">
                  <c:v>-8.964158469858088E-3</c:v>
                </c:pt>
                <c:pt idx="14">
                  <c:v>-3.9254857678910904E-3</c:v>
                </c:pt>
                <c:pt idx="15">
                  <c:v>-1.4241498374814582E-2</c:v>
                </c:pt>
                <c:pt idx="16">
                  <c:v>3.0040609937480301E-2</c:v>
                </c:pt>
                <c:pt idx="17">
                  <c:v>1.2327329447960229E-2</c:v>
                </c:pt>
                <c:pt idx="18">
                  <c:v>7.7151980265807709E-3</c:v>
                </c:pt>
                <c:pt idx="19">
                  <c:v>-1.7450866040184358E-2</c:v>
                </c:pt>
                <c:pt idx="20">
                  <c:v>-1.137976811240362E-2</c:v>
                </c:pt>
                <c:pt idx="21">
                  <c:v>-1.7181629606472057E-2</c:v>
                </c:pt>
                <c:pt idx="22">
                  <c:v>-2.2025938774419895E-2</c:v>
                </c:pt>
                <c:pt idx="23">
                  <c:v>6.6980919406965508E-3</c:v>
                </c:pt>
                <c:pt idx="24">
                  <c:v>-2.0299137162738949E-2</c:v>
                </c:pt>
                <c:pt idx="25">
                  <c:v>-1.9194505949269115E-2</c:v>
                </c:pt>
                <c:pt idx="26">
                  <c:v>1.5644779797904424E-2</c:v>
                </c:pt>
                <c:pt idx="27">
                  <c:v>2.4613259968078272E-2</c:v>
                </c:pt>
                <c:pt idx="28">
                  <c:v>-6.6117445591620388E-3</c:v>
                </c:pt>
                <c:pt idx="29">
                  <c:v>-5.1094364083637232E-3</c:v>
                </c:pt>
                <c:pt idx="30">
                  <c:v>-2.0174275272475839E-2</c:v>
                </c:pt>
                <c:pt idx="31">
                  <c:v>1.5316658550241107E-3</c:v>
                </c:pt>
                <c:pt idx="32">
                  <c:v>2.1135280987528058E-3</c:v>
                </c:pt>
                <c:pt idx="33">
                  <c:v>-8.2862877611968571E-3</c:v>
                </c:pt>
                <c:pt idx="34">
                  <c:v>4.2687349783578831E-3</c:v>
                </c:pt>
                <c:pt idx="35">
                  <c:v>-3.0911482637797014E-2</c:v>
                </c:pt>
                <c:pt idx="36">
                  <c:v>5.1877132395179326E-2</c:v>
                </c:pt>
                <c:pt idx="37">
                  <c:v>-1.57297349012754E-2</c:v>
                </c:pt>
                <c:pt idx="38">
                  <c:v>2.1823572778523419E-2</c:v>
                </c:pt>
                <c:pt idx="39">
                  <c:v>7.5674632090213167E-3</c:v>
                </c:pt>
                <c:pt idx="40">
                  <c:v>2.2089306487744719E-2</c:v>
                </c:pt>
                <c:pt idx="41">
                  <c:v>-1.2141795192023181E-2</c:v>
                </c:pt>
                <c:pt idx="42">
                  <c:v>6.7668912312489008E-3</c:v>
                </c:pt>
                <c:pt idx="43">
                  <c:v>3.6755701367835229E-2</c:v>
                </c:pt>
                <c:pt idx="44">
                  <c:v>-1.342697922047505E-2</c:v>
                </c:pt>
                <c:pt idx="45">
                  <c:v>3.3898526010775372E-3</c:v>
                </c:pt>
                <c:pt idx="46">
                  <c:v>1.3788487501337363E-2</c:v>
                </c:pt>
                <c:pt idx="47">
                  <c:v>4.7683399970659566E-3</c:v>
                </c:pt>
                <c:pt idx="48">
                  <c:v>-2.7675481667091075E-2</c:v>
                </c:pt>
                <c:pt idx="49">
                  <c:v>-4.2842781674508725E-3</c:v>
                </c:pt>
                <c:pt idx="50">
                  <c:v>4.4745812143424327E-3</c:v>
                </c:pt>
                <c:pt idx="51">
                  <c:v>-1.3605823316911124E-3</c:v>
                </c:pt>
                <c:pt idx="52">
                  <c:v>3.7375539918098966E-3</c:v>
                </c:pt>
                <c:pt idx="53">
                  <c:v>2.8377765077192564E-2</c:v>
                </c:pt>
                <c:pt idx="54">
                  <c:v>2.3833943223991433E-2</c:v>
                </c:pt>
                <c:pt idx="55">
                  <c:v>-6.6624590854597755E-3</c:v>
                </c:pt>
                <c:pt idx="56">
                  <c:v>-9.6996146387570634E-3</c:v>
                </c:pt>
                <c:pt idx="57">
                  <c:v>7.3377551173449606E-3</c:v>
                </c:pt>
                <c:pt idx="58">
                  <c:v>2.5156965141737365E-2</c:v>
                </c:pt>
                <c:pt idx="59">
                  <c:v>5.5593193588883774E-3</c:v>
                </c:pt>
                <c:pt idx="60">
                  <c:v>-2.0823773373794874E-2</c:v>
                </c:pt>
                <c:pt idx="61">
                  <c:v>1.9838987214356913E-2</c:v>
                </c:pt>
                <c:pt idx="62">
                  <c:v>1.0751912059674953E-2</c:v>
                </c:pt>
                <c:pt idx="63">
                  <c:v>-3.5781914029058615E-3</c:v>
                </c:pt>
                <c:pt idx="64">
                  <c:v>-2.6996652106459747E-2</c:v>
                </c:pt>
                <c:pt idx="65">
                  <c:v>1.9046824416565064E-2</c:v>
                </c:pt>
                <c:pt idx="66">
                  <c:v>-1.1511198661117123E-2</c:v>
                </c:pt>
                <c:pt idx="67">
                  <c:v>4.3965054456512949E-2</c:v>
                </c:pt>
                <c:pt idx="68">
                  <c:v>3.7037401390531438E-2</c:v>
                </c:pt>
                <c:pt idx="69">
                  <c:v>2.0322445895431585E-2</c:v>
                </c:pt>
                <c:pt idx="70">
                  <c:v>-2.3422624832574908E-3</c:v>
                </c:pt>
                <c:pt idx="71">
                  <c:v>9.0736713829301999E-3</c:v>
                </c:pt>
                <c:pt idx="72">
                  <c:v>3.8493428084891328E-3</c:v>
                </c:pt>
                <c:pt idx="73">
                  <c:v>-2.1946392407301941E-2</c:v>
                </c:pt>
                <c:pt idx="74">
                  <c:v>-1.9972463853025284E-3</c:v>
                </c:pt>
                <c:pt idx="75">
                  <c:v>9.5419315855764172E-3</c:v>
                </c:pt>
                <c:pt idx="76">
                  <c:v>-5.7673436536596892E-3</c:v>
                </c:pt>
                <c:pt idx="77">
                  <c:v>1.0265653617214219E-2</c:v>
                </c:pt>
                <c:pt idx="78">
                  <c:v>-0.10282371352803926</c:v>
                </c:pt>
                <c:pt idx="79">
                  <c:v>1.5217233968953671E-2</c:v>
                </c:pt>
                <c:pt idx="80">
                  <c:v>4.7981361652016099E-3</c:v>
                </c:pt>
                <c:pt idx="81">
                  <c:v>-1.9208313210176096E-2</c:v>
                </c:pt>
                <c:pt idx="82">
                  <c:v>-8.1706161839184797E-3</c:v>
                </c:pt>
                <c:pt idx="83">
                  <c:v>-2.4274273652945197E-2</c:v>
                </c:pt>
                <c:pt idx="84">
                  <c:v>-1.2685395345358589E-2</c:v>
                </c:pt>
                <c:pt idx="85">
                  <c:v>6.6196150901913931E-3</c:v>
                </c:pt>
                <c:pt idx="86">
                  <c:v>-2.348184285779582E-3</c:v>
                </c:pt>
                <c:pt idx="87">
                  <c:v>2.6292564264361735E-2</c:v>
                </c:pt>
                <c:pt idx="88">
                  <c:v>-2.5319328168025308E-2</c:v>
                </c:pt>
                <c:pt idx="89">
                  <c:v>2.6579139611186908E-2</c:v>
                </c:pt>
                <c:pt idx="90">
                  <c:v>-1.0972685735683795E-2</c:v>
                </c:pt>
                <c:pt idx="91">
                  <c:v>-1.6591978313645523E-2</c:v>
                </c:pt>
                <c:pt idx="92">
                  <c:v>2.0921269496761687E-2</c:v>
                </c:pt>
                <c:pt idx="93">
                  <c:v>-1.0448279528334679E-2</c:v>
                </c:pt>
                <c:pt idx="94">
                  <c:v>1.1423135191998992E-2</c:v>
                </c:pt>
                <c:pt idx="95">
                  <c:v>-2.1584385836401834E-2</c:v>
                </c:pt>
                <c:pt idx="96">
                  <c:v>-2.4705293119203545E-3</c:v>
                </c:pt>
                <c:pt idx="97">
                  <c:v>3.1954189126097857E-3</c:v>
                </c:pt>
                <c:pt idx="98">
                  <c:v>2.6493893084753983E-3</c:v>
                </c:pt>
                <c:pt idx="99">
                  <c:v>-2.113259706770302E-2</c:v>
                </c:pt>
                <c:pt idx="100">
                  <c:v>8.0229433215888331E-3</c:v>
                </c:pt>
                <c:pt idx="101">
                  <c:v>-3.6994538767138813E-3</c:v>
                </c:pt>
                <c:pt idx="102">
                  <c:v>-2.0064289467554283E-2</c:v>
                </c:pt>
                <c:pt idx="103">
                  <c:v>2.9006813148215557E-2</c:v>
                </c:pt>
                <c:pt idx="104">
                  <c:v>-8.9063235020772173E-3</c:v>
                </c:pt>
                <c:pt idx="105">
                  <c:v>-3.1485781375971655E-4</c:v>
                </c:pt>
                <c:pt idx="106">
                  <c:v>1.3513775776774539E-2</c:v>
                </c:pt>
                <c:pt idx="107">
                  <c:v>2.3021083067565305E-2</c:v>
                </c:pt>
                <c:pt idx="108">
                  <c:v>1.5092273536167455E-4</c:v>
                </c:pt>
                <c:pt idx="109">
                  <c:v>-1.7957722741178662E-2</c:v>
                </c:pt>
                <c:pt idx="110">
                  <c:v>1.4517184574035903E-2</c:v>
                </c:pt>
                <c:pt idx="111">
                  <c:v>-2.1473597165160346E-3</c:v>
                </c:pt>
                <c:pt idx="112">
                  <c:v>2.3600127124175489E-3</c:v>
                </c:pt>
                <c:pt idx="113">
                  <c:v>5.4317897813984028E-3</c:v>
                </c:pt>
                <c:pt idx="114">
                  <c:v>-6.4358631426473306E-3</c:v>
                </c:pt>
                <c:pt idx="115">
                  <c:v>-3.9589433210118338E-3</c:v>
                </c:pt>
                <c:pt idx="116">
                  <c:v>2.4781620481340194E-2</c:v>
                </c:pt>
                <c:pt idx="117">
                  <c:v>-1.2172459412836496E-2</c:v>
                </c:pt>
                <c:pt idx="118">
                  <c:v>-1.0361088605998884E-2</c:v>
                </c:pt>
                <c:pt idx="119">
                  <c:v>1.7660393596221232E-2</c:v>
                </c:pt>
                <c:pt idx="120">
                  <c:v>7.8511704687735783E-3</c:v>
                </c:pt>
                <c:pt idx="121">
                  <c:v>1.8711579368582254E-2</c:v>
                </c:pt>
                <c:pt idx="122">
                  <c:v>4.1604924711426856E-3</c:v>
                </c:pt>
                <c:pt idx="123">
                  <c:v>-4.4366556681035224E-3</c:v>
                </c:pt>
                <c:pt idx="124">
                  <c:v>2.737088777475606E-3</c:v>
                </c:pt>
                <c:pt idx="125">
                  <c:v>2.6263607110798361E-2</c:v>
                </c:pt>
                <c:pt idx="126">
                  <c:v>-3.5722543914431418E-3</c:v>
                </c:pt>
                <c:pt idx="127">
                  <c:v>-1.8070402069665353E-2</c:v>
                </c:pt>
                <c:pt idx="128">
                  <c:v>-2.7783655479246695E-2</c:v>
                </c:pt>
                <c:pt idx="129">
                  <c:v>1.830303333152352E-2</c:v>
                </c:pt>
                <c:pt idx="130">
                  <c:v>-2.673648733831851E-3</c:v>
                </c:pt>
                <c:pt idx="131">
                  <c:v>-1.144361613826015E-2</c:v>
                </c:pt>
                <c:pt idx="132">
                  <c:v>1.3744671026486539E-2</c:v>
                </c:pt>
                <c:pt idx="133">
                  <c:v>2.4981635056449524E-3</c:v>
                </c:pt>
                <c:pt idx="134">
                  <c:v>5.8226005333099316E-3</c:v>
                </c:pt>
                <c:pt idx="135">
                  <c:v>6.8235579433603439E-3</c:v>
                </c:pt>
                <c:pt idx="136">
                  <c:v>-3.3095806354545574E-3</c:v>
                </c:pt>
                <c:pt idx="137">
                  <c:v>-1.1853929247312565E-2</c:v>
                </c:pt>
                <c:pt idx="138">
                  <c:v>-8.1160696178404958E-3</c:v>
                </c:pt>
                <c:pt idx="139">
                  <c:v>-1.627458791006535E-2</c:v>
                </c:pt>
                <c:pt idx="140">
                  <c:v>2.6146201646292951E-2</c:v>
                </c:pt>
                <c:pt idx="141">
                  <c:v>-3.6092936667490362E-3</c:v>
                </c:pt>
                <c:pt idx="142">
                  <c:v>-1.5661221456480152E-2</c:v>
                </c:pt>
                <c:pt idx="143">
                  <c:v>5.1806799173536641E-3</c:v>
                </c:pt>
                <c:pt idx="144">
                  <c:v>2.2795858479358687E-2</c:v>
                </c:pt>
                <c:pt idx="145">
                  <c:v>1.5338649564122731E-2</c:v>
                </c:pt>
                <c:pt idx="146">
                  <c:v>-1.4263043075058784E-3</c:v>
                </c:pt>
                <c:pt idx="147">
                  <c:v>-5.8638634964510369E-3</c:v>
                </c:pt>
                <c:pt idx="148">
                  <c:v>1.4322278034140268E-3</c:v>
                </c:pt>
                <c:pt idx="149">
                  <c:v>-2.4401730067409439E-2</c:v>
                </c:pt>
                <c:pt idx="150">
                  <c:v>-1.8368162139974983E-3</c:v>
                </c:pt>
                <c:pt idx="151">
                  <c:v>3.7108641933885095E-3</c:v>
                </c:pt>
                <c:pt idx="152">
                  <c:v>-4.864871250741306E-3</c:v>
                </c:pt>
                <c:pt idx="153">
                  <c:v>7.1744850487225125E-3</c:v>
                </c:pt>
                <c:pt idx="154">
                  <c:v>2.0955185479336683E-2</c:v>
                </c:pt>
                <c:pt idx="155">
                  <c:v>3.0676874658359873E-3</c:v>
                </c:pt>
                <c:pt idx="156">
                  <c:v>1.6194908040910679E-2</c:v>
                </c:pt>
                <c:pt idx="157">
                  <c:v>1.1503107720698038E-3</c:v>
                </c:pt>
                <c:pt idx="158">
                  <c:v>2.2425505844401065E-2</c:v>
                </c:pt>
                <c:pt idx="159">
                  <c:v>-9.0710723864229348E-3</c:v>
                </c:pt>
                <c:pt idx="160">
                  <c:v>-9.0045457655491233E-3</c:v>
                </c:pt>
                <c:pt idx="161">
                  <c:v>5.0251292998187355E-3</c:v>
                </c:pt>
                <c:pt idx="162">
                  <c:v>2.3508435331195527E-2</c:v>
                </c:pt>
                <c:pt idx="163">
                  <c:v>9.4257070570827892E-4</c:v>
                </c:pt>
                <c:pt idx="164">
                  <c:v>-3.3334534815077678E-3</c:v>
                </c:pt>
                <c:pt idx="165">
                  <c:v>-2.5333444913464816E-3</c:v>
                </c:pt>
                <c:pt idx="166">
                  <c:v>5.0220716821780219E-3</c:v>
                </c:pt>
                <c:pt idx="167">
                  <c:v>3.1132521018357548E-2</c:v>
                </c:pt>
                <c:pt idx="168">
                  <c:v>-7.9708648558993438E-3</c:v>
                </c:pt>
                <c:pt idx="169">
                  <c:v>1.2152173392306294E-2</c:v>
                </c:pt>
                <c:pt idx="170">
                  <c:v>-1.4069921965453409E-2</c:v>
                </c:pt>
                <c:pt idx="171">
                  <c:v>-4.5103609747494085E-3</c:v>
                </c:pt>
                <c:pt idx="172">
                  <c:v>8.8526963855819815E-3</c:v>
                </c:pt>
                <c:pt idx="173">
                  <c:v>-1.1506602645457033E-2</c:v>
                </c:pt>
                <c:pt idx="174">
                  <c:v>-1.4029799274255789E-2</c:v>
                </c:pt>
                <c:pt idx="175">
                  <c:v>1.9872103917163162E-3</c:v>
                </c:pt>
                <c:pt idx="176">
                  <c:v>-4.4690005819569157E-3</c:v>
                </c:pt>
                <c:pt idx="177">
                  <c:v>-3.6476476157557033E-3</c:v>
                </c:pt>
                <c:pt idx="178">
                  <c:v>4.3524426457712991E-3</c:v>
                </c:pt>
                <c:pt idx="179">
                  <c:v>-1.4049220047137997E-3</c:v>
                </c:pt>
                <c:pt idx="180">
                  <c:v>2.965096070543416E-2</c:v>
                </c:pt>
                <c:pt idx="181">
                  <c:v>-2.1289338092566057E-2</c:v>
                </c:pt>
                <c:pt idx="182">
                  <c:v>1.9306984395184103E-2</c:v>
                </c:pt>
                <c:pt idx="183">
                  <c:v>1.7827438827310596E-2</c:v>
                </c:pt>
                <c:pt idx="184">
                  <c:v>-7.8103865676135715E-3</c:v>
                </c:pt>
                <c:pt idx="185">
                  <c:v>-1.5788963505281424E-2</c:v>
                </c:pt>
                <c:pt idx="186">
                  <c:v>1.95370527207115E-2</c:v>
                </c:pt>
                <c:pt idx="187">
                  <c:v>1.8135888970345803E-2</c:v>
                </c:pt>
                <c:pt idx="188">
                  <c:v>4.5044800474140445E-2</c:v>
                </c:pt>
                <c:pt idx="189">
                  <c:v>-1.6124032411952583E-3</c:v>
                </c:pt>
                <c:pt idx="190">
                  <c:v>-2.4881830364972081E-2</c:v>
                </c:pt>
                <c:pt idx="191">
                  <c:v>1.0862205655350326E-3</c:v>
                </c:pt>
                <c:pt idx="192">
                  <c:v>1.3547297046536028E-2</c:v>
                </c:pt>
                <c:pt idx="193">
                  <c:v>-6.361062760831435E-3</c:v>
                </c:pt>
                <c:pt idx="194">
                  <c:v>-6.5792528190014264E-3</c:v>
                </c:pt>
                <c:pt idx="195">
                  <c:v>6.3997979955132183E-3</c:v>
                </c:pt>
                <c:pt idx="196">
                  <c:v>-3.6921951712709358E-2</c:v>
                </c:pt>
                <c:pt idx="197">
                  <c:v>7.7940236370509291E-3</c:v>
                </c:pt>
                <c:pt idx="198">
                  <c:v>2.5818128131001685E-3</c:v>
                </c:pt>
                <c:pt idx="199">
                  <c:v>1.3035329114224274E-2</c:v>
                </c:pt>
                <c:pt idx="200">
                  <c:v>4.252146509090224E-3</c:v>
                </c:pt>
                <c:pt idx="201">
                  <c:v>5.0827505209805413E-3</c:v>
                </c:pt>
                <c:pt idx="202">
                  <c:v>1.1103945479256645E-2</c:v>
                </c:pt>
                <c:pt idx="203">
                  <c:v>-1.8493860061016842E-2</c:v>
                </c:pt>
                <c:pt idx="204">
                  <c:v>1.3133200608409805E-2</c:v>
                </c:pt>
                <c:pt idx="205">
                  <c:v>-8.12218469299468E-3</c:v>
                </c:pt>
                <c:pt idx="206">
                  <c:v>-1.3878152804591587E-2</c:v>
                </c:pt>
                <c:pt idx="207">
                  <c:v>-2.7878907421312556E-2</c:v>
                </c:pt>
                <c:pt idx="208">
                  <c:v>-4.9737682430791283E-2</c:v>
                </c:pt>
                <c:pt idx="209">
                  <c:v>2.8048676706524001E-2</c:v>
                </c:pt>
                <c:pt idx="210">
                  <c:v>1.2517143001276746E-3</c:v>
                </c:pt>
                <c:pt idx="211">
                  <c:v>-3.6266946586637587E-2</c:v>
                </c:pt>
                <c:pt idx="212">
                  <c:v>-1.2723771287222009E-4</c:v>
                </c:pt>
                <c:pt idx="213">
                  <c:v>2.6819348455731157E-2</c:v>
                </c:pt>
                <c:pt idx="214">
                  <c:v>-3.2491992157755601E-3</c:v>
                </c:pt>
                <c:pt idx="215">
                  <c:v>-1.2168565093088364E-2</c:v>
                </c:pt>
                <c:pt idx="216">
                  <c:v>-3.819678060703255E-5</c:v>
                </c:pt>
                <c:pt idx="217">
                  <c:v>1.3102006210651461E-2</c:v>
                </c:pt>
                <c:pt idx="218">
                  <c:v>2.5049183840902656E-2</c:v>
                </c:pt>
                <c:pt idx="219">
                  <c:v>-1.782663287293854E-4</c:v>
                </c:pt>
                <c:pt idx="220">
                  <c:v>-1.2417890909793901E-2</c:v>
                </c:pt>
                <c:pt idx="221">
                  <c:v>-1.6353944940679592E-2</c:v>
                </c:pt>
                <c:pt idx="222">
                  <c:v>2.1854980722938202E-2</c:v>
                </c:pt>
                <c:pt idx="223">
                  <c:v>-1.5886006184342213E-2</c:v>
                </c:pt>
                <c:pt idx="224">
                  <c:v>1.807957646477034E-2</c:v>
                </c:pt>
                <c:pt idx="225">
                  <c:v>-2.4480435447648916E-3</c:v>
                </c:pt>
                <c:pt idx="226">
                  <c:v>6.4673584525240524E-3</c:v>
                </c:pt>
                <c:pt idx="227">
                  <c:v>-9.7895981526444284E-3</c:v>
                </c:pt>
                <c:pt idx="228">
                  <c:v>1.5971211254985376E-2</c:v>
                </c:pt>
                <c:pt idx="229">
                  <c:v>3.7280638615420601E-2</c:v>
                </c:pt>
                <c:pt idx="230">
                  <c:v>4.8640149173175187E-3</c:v>
                </c:pt>
                <c:pt idx="231">
                  <c:v>3.2393596633925209E-3</c:v>
                </c:pt>
                <c:pt idx="232">
                  <c:v>6.7768965801635411E-2</c:v>
                </c:pt>
                <c:pt idx="233">
                  <c:v>-5.3943109661610438E-3</c:v>
                </c:pt>
                <c:pt idx="234">
                  <c:v>2.9513150139962176E-2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8-484C-B657-77A564DBA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4450271"/>
        <c:axId val="1484442367"/>
      </c:lineChart>
      <c:dateAx>
        <c:axId val="14844502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84442367"/>
        <c:crosses val="autoZero"/>
        <c:auto val="1"/>
        <c:lblOffset val="100"/>
        <c:baseTimeUnit val="days"/>
      </c:dateAx>
      <c:valAx>
        <c:axId val="1484442367"/>
        <c:scaling>
          <c:orientation val="minMax"/>
          <c:max val="8.0000000000000016E-2"/>
          <c:min val="-0.11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844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590549</xdr:colOff>
      <xdr:row>217</xdr:row>
      <xdr:rowOff>0</xdr:rowOff>
    </xdr:from>
    <xdr:to>
      <xdr:col>31</xdr:col>
      <xdr:colOff>600074</xdr:colOff>
      <xdr:row>237</xdr:row>
      <xdr:rowOff>80962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3A9FC6F-CE9D-4E38-BF00-04A145FCE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15</xdr:col>
      <xdr:colOff>0</xdr:colOff>
      <xdr:row>34</xdr:row>
      <xdr:rowOff>19050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3F3C430-6CD3-4937-9804-6A81F490D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8008-7164-4C40-B35C-22372A63CAC8}">
  <dimension ref="A1:H236"/>
  <sheetViews>
    <sheetView zoomScale="110" zoomScaleNormal="110" workbookViewId="0">
      <selection activeCell="I4" sqref="I4"/>
    </sheetView>
  </sheetViews>
  <sheetFormatPr defaultRowHeight="15" x14ac:dyDescent="0.25"/>
  <cols>
    <col min="1" max="1" width="11.28515625" customWidth="1"/>
    <col min="2" max="6" width="13.42578125" bestFit="1" customWidth="1"/>
    <col min="8" max="8" width="9.140625" style="3" customWidth="1"/>
    <col min="11" max="12" width="9.140625" customWidth="1"/>
    <col min="14" max="14" width="9.140625" customWidth="1"/>
  </cols>
  <sheetData>
    <row r="1" spans="1:6" ht="30.75" customHeight="1" thickBot="1" x14ac:dyDescent="0.3">
      <c r="A1" s="6" t="s">
        <v>0</v>
      </c>
      <c r="B1" s="9" t="s">
        <v>5</v>
      </c>
      <c r="C1" s="9" t="s">
        <v>6</v>
      </c>
      <c r="D1" s="9" t="s">
        <v>4</v>
      </c>
      <c r="E1" s="9" t="s">
        <v>2</v>
      </c>
      <c r="F1" s="10" t="s">
        <v>3</v>
      </c>
    </row>
    <row r="2" spans="1:6" x14ac:dyDescent="0.25">
      <c r="A2" s="1">
        <v>45779</v>
      </c>
      <c r="B2" s="2">
        <v>69.935900000000004</v>
      </c>
      <c r="C2" s="2">
        <v>171.142</v>
      </c>
      <c r="D2" s="2">
        <v>539.78800000000001</v>
      </c>
      <c r="E2" s="2">
        <v>829.8</v>
      </c>
      <c r="F2" s="2">
        <v>94.046000000000006</v>
      </c>
    </row>
    <row r="3" spans="1:6" x14ac:dyDescent="0.25">
      <c r="A3" s="1">
        <v>45782</v>
      </c>
      <c r="B3" s="2">
        <v>69.674800000000005</v>
      </c>
      <c r="C3" s="2">
        <v>170.6</v>
      </c>
      <c r="D3" s="2">
        <v>503.91199999999998</v>
      </c>
      <c r="E3" s="2">
        <v>804</v>
      </c>
      <c r="F3" s="2">
        <v>92.773899999999998</v>
      </c>
    </row>
    <row r="4" spans="1:6" x14ac:dyDescent="0.25">
      <c r="A4" s="1">
        <v>45783</v>
      </c>
      <c r="B4" s="2">
        <v>68.164199999999994</v>
      </c>
      <c r="C4" s="2">
        <v>166.4</v>
      </c>
      <c r="D4" s="2">
        <v>490.916</v>
      </c>
      <c r="E4" s="2">
        <v>782</v>
      </c>
      <c r="F4" s="2">
        <v>90.683899999999994</v>
      </c>
    </row>
    <row r="5" spans="1:6" x14ac:dyDescent="0.25">
      <c r="A5" s="1">
        <v>45784</v>
      </c>
      <c r="B5" s="2">
        <v>68.966200000000001</v>
      </c>
      <c r="C5" s="2">
        <v>168.25</v>
      </c>
      <c r="D5" s="2">
        <v>496.041</v>
      </c>
      <c r="E5" s="2">
        <v>788.8</v>
      </c>
      <c r="F5" s="2">
        <v>92.501300000000001</v>
      </c>
    </row>
    <row r="6" spans="1:6" x14ac:dyDescent="0.25">
      <c r="A6" s="1">
        <v>45785</v>
      </c>
      <c r="B6" s="2">
        <v>69.525599999999997</v>
      </c>
      <c r="C6" s="2">
        <v>171</v>
      </c>
      <c r="D6" s="2">
        <v>493.47800000000001</v>
      </c>
      <c r="E6" s="2">
        <v>794.2</v>
      </c>
      <c r="F6" s="2">
        <v>93.637100000000004</v>
      </c>
    </row>
    <row r="7" spans="1:6" x14ac:dyDescent="0.25">
      <c r="A7" s="1">
        <v>45786</v>
      </c>
      <c r="B7" s="2">
        <v>72.994500000000002</v>
      </c>
      <c r="C7" s="2">
        <v>178.4</v>
      </c>
      <c r="D7" s="2">
        <v>500.8</v>
      </c>
      <c r="E7" s="2">
        <v>817.8</v>
      </c>
      <c r="F7" s="2">
        <v>97.589699999999993</v>
      </c>
    </row>
    <row r="8" spans="1:6" x14ac:dyDescent="0.25">
      <c r="A8" s="1">
        <v>45789</v>
      </c>
      <c r="B8" s="2">
        <v>72.751999999999995</v>
      </c>
      <c r="C8" s="2">
        <v>178.75</v>
      </c>
      <c r="D8" s="2">
        <v>512.79999999999995</v>
      </c>
      <c r="E8" s="2">
        <v>828</v>
      </c>
      <c r="F8" s="2">
        <v>97.271699999999996</v>
      </c>
    </row>
    <row r="9" spans="1:6" x14ac:dyDescent="0.25">
      <c r="A9" s="1">
        <v>45790</v>
      </c>
      <c r="B9" s="2">
        <v>72.919899999999998</v>
      </c>
      <c r="C9" s="2">
        <v>181.8</v>
      </c>
      <c r="D9" s="2">
        <v>527.20000000000005</v>
      </c>
      <c r="E9" s="2">
        <v>820</v>
      </c>
      <c r="F9" s="2">
        <v>97.953199999999995</v>
      </c>
    </row>
    <row r="10" spans="1:6" x14ac:dyDescent="0.25">
      <c r="A10" s="1">
        <v>45791</v>
      </c>
      <c r="B10" s="2">
        <v>73.628500000000003</v>
      </c>
      <c r="C10" s="2">
        <v>182.5</v>
      </c>
      <c r="D10" s="2">
        <v>525.20000000000005</v>
      </c>
      <c r="E10" s="2">
        <v>821.4</v>
      </c>
      <c r="F10" s="2">
        <v>97.3626</v>
      </c>
    </row>
    <row r="11" spans="1:6" x14ac:dyDescent="0.25">
      <c r="A11" s="1">
        <v>45792</v>
      </c>
      <c r="B11" s="2">
        <v>72.379000000000005</v>
      </c>
      <c r="C11" s="2">
        <v>180.9</v>
      </c>
      <c r="D11" s="2">
        <v>525.20000000000005</v>
      </c>
      <c r="E11" s="2">
        <v>812.4</v>
      </c>
      <c r="F11" s="2">
        <v>96.908199999999994</v>
      </c>
    </row>
    <row r="12" spans="1:6" x14ac:dyDescent="0.25">
      <c r="A12" s="1">
        <v>45793</v>
      </c>
      <c r="B12" s="2">
        <v>71.950100000000006</v>
      </c>
      <c r="C12" s="2">
        <v>181.8</v>
      </c>
      <c r="D12" s="2">
        <v>534.20000000000005</v>
      </c>
      <c r="E12" s="2">
        <v>812.4</v>
      </c>
      <c r="F12" s="2">
        <v>97.498900000000006</v>
      </c>
    </row>
    <row r="13" spans="1:6" x14ac:dyDescent="0.25">
      <c r="A13" s="1">
        <v>45796</v>
      </c>
      <c r="B13" s="2">
        <v>70.495400000000004</v>
      </c>
      <c r="C13" s="2">
        <v>178.75</v>
      </c>
      <c r="D13" s="2">
        <v>512</v>
      </c>
      <c r="E13" s="2">
        <v>806.6</v>
      </c>
      <c r="F13" s="2">
        <v>95.863299999999995</v>
      </c>
    </row>
    <row r="14" spans="1:6" x14ac:dyDescent="0.25">
      <c r="A14" s="1">
        <v>45797</v>
      </c>
      <c r="B14" s="2">
        <v>70.868399999999994</v>
      </c>
      <c r="C14" s="2">
        <v>181.5</v>
      </c>
      <c r="D14" s="2">
        <v>515.6</v>
      </c>
      <c r="E14" s="2">
        <v>803.4</v>
      </c>
      <c r="F14" s="2">
        <v>96.953699999999998</v>
      </c>
    </row>
    <row r="15" spans="1:6" x14ac:dyDescent="0.25">
      <c r="A15" s="1">
        <v>45798</v>
      </c>
      <c r="B15" s="2">
        <v>70.103800000000007</v>
      </c>
      <c r="C15" s="2">
        <v>179.4</v>
      </c>
      <c r="D15" s="2">
        <v>512.6</v>
      </c>
      <c r="E15" s="2">
        <v>800</v>
      </c>
      <c r="F15" s="2">
        <v>95.772400000000005</v>
      </c>
    </row>
    <row r="16" spans="1:6" x14ac:dyDescent="0.25">
      <c r="A16" s="1">
        <v>45799</v>
      </c>
      <c r="B16" s="2">
        <v>69.842699999999994</v>
      </c>
      <c r="C16" s="2">
        <v>178.85</v>
      </c>
      <c r="D16" s="2">
        <v>510.6</v>
      </c>
      <c r="E16" s="2">
        <v>802.8</v>
      </c>
      <c r="F16" s="2">
        <v>94.591200000000001</v>
      </c>
    </row>
    <row r="17" spans="1:6" x14ac:dyDescent="0.25">
      <c r="A17" s="1">
        <v>45800</v>
      </c>
      <c r="B17" s="2">
        <v>69.115300000000005</v>
      </c>
      <c r="C17" s="2">
        <v>176.5</v>
      </c>
      <c r="D17" s="2">
        <v>496.9</v>
      </c>
      <c r="E17" s="2">
        <v>791.6</v>
      </c>
      <c r="F17" s="2">
        <v>94.000500000000002</v>
      </c>
    </row>
    <row r="18" spans="1:6" x14ac:dyDescent="0.25">
      <c r="A18" s="1">
        <v>45803</v>
      </c>
      <c r="B18" s="2">
        <v>70.700599999999994</v>
      </c>
      <c r="C18" s="2">
        <v>181.8</v>
      </c>
      <c r="D18" s="2">
        <v>509.2</v>
      </c>
      <c r="E18" s="2">
        <v>826.4</v>
      </c>
      <c r="F18" s="2">
        <v>96.908199999999994</v>
      </c>
    </row>
    <row r="19" spans="1:6" x14ac:dyDescent="0.25">
      <c r="A19" s="1">
        <v>45804</v>
      </c>
      <c r="B19" s="2">
        <v>71.875500000000002</v>
      </c>
      <c r="C19" s="2">
        <v>184.6</v>
      </c>
      <c r="D19" s="2">
        <v>511.8</v>
      </c>
      <c r="E19" s="2">
        <v>842</v>
      </c>
      <c r="F19" s="2">
        <v>97.498900000000006</v>
      </c>
    </row>
    <row r="20" spans="1:6" x14ac:dyDescent="0.25">
      <c r="A20" s="1">
        <v>45805</v>
      </c>
      <c r="B20" s="2">
        <v>72.546899999999994</v>
      </c>
      <c r="C20" s="2">
        <v>186.6</v>
      </c>
      <c r="D20" s="2">
        <v>511.4</v>
      </c>
      <c r="E20" s="2">
        <v>856.4</v>
      </c>
      <c r="F20" s="2">
        <v>97.725999999999999</v>
      </c>
    </row>
    <row r="21" spans="1:6" x14ac:dyDescent="0.25">
      <c r="A21" s="1">
        <v>45806</v>
      </c>
      <c r="B21" s="2">
        <v>70.887100000000004</v>
      </c>
      <c r="C21" s="2">
        <v>185</v>
      </c>
      <c r="D21" s="2">
        <v>502.6</v>
      </c>
      <c r="E21" s="2">
        <v>847.6</v>
      </c>
      <c r="F21" s="2">
        <v>95.045500000000004</v>
      </c>
    </row>
    <row r="22" spans="1:6" x14ac:dyDescent="0.25">
      <c r="A22" s="1">
        <v>45807</v>
      </c>
      <c r="B22" s="2">
        <v>70.197000000000003</v>
      </c>
      <c r="C22" s="2">
        <v>184.3</v>
      </c>
      <c r="D22" s="2">
        <v>500.6</v>
      </c>
      <c r="E22" s="2">
        <v>820</v>
      </c>
      <c r="F22" s="2">
        <v>94.454899999999995</v>
      </c>
    </row>
    <row r="23" spans="1:6" x14ac:dyDescent="0.25">
      <c r="A23" s="1">
        <v>45810</v>
      </c>
      <c r="B23" s="2">
        <v>68.015000000000001</v>
      </c>
      <c r="C23" s="2">
        <v>183.4</v>
      </c>
      <c r="D23" s="2">
        <v>495.6</v>
      </c>
      <c r="E23" s="2">
        <v>803</v>
      </c>
      <c r="F23" s="2">
        <v>92.728399999999993</v>
      </c>
    </row>
    <row r="24" spans="1:6" x14ac:dyDescent="0.25">
      <c r="A24" s="1">
        <v>45811</v>
      </c>
      <c r="B24" s="2">
        <v>66.970600000000005</v>
      </c>
      <c r="C24" s="2">
        <v>177</v>
      </c>
      <c r="D24" s="2">
        <v>485.1</v>
      </c>
      <c r="E24" s="2">
        <v>785.2</v>
      </c>
      <c r="F24" s="2">
        <v>91.32</v>
      </c>
    </row>
    <row r="25" spans="1:6" x14ac:dyDescent="0.25">
      <c r="A25" s="1">
        <v>45812</v>
      </c>
      <c r="B25" s="2">
        <v>66.951999999999998</v>
      </c>
      <c r="C25" s="2">
        <v>180</v>
      </c>
      <c r="D25" s="2">
        <v>486.6</v>
      </c>
      <c r="E25" s="2">
        <v>793.8</v>
      </c>
      <c r="F25" s="2">
        <v>91.592600000000004</v>
      </c>
    </row>
    <row r="26" spans="1:6" x14ac:dyDescent="0.25">
      <c r="A26" s="1">
        <v>45813</v>
      </c>
      <c r="B26" s="2">
        <v>65.683800000000005</v>
      </c>
      <c r="C26" s="2">
        <v>176.1</v>
      </c>
      <c r="D26" s="2">
        <v>478.3</v>
      </c>
      <c r="E26" s="2">
        <v>780</v>
      </c>
      <c r="F26" s="2">
        <v>89.266400000000004</v>
      </c>
    </row>
    <row r="27" spans="1:6" x14ac:dyDescent="0.25">
      <c r="A27" s="1">
        <v>45814</v>
      </c>
      <c r="B27" s="2">
        <v>64.378399999999999</v>
      </c>
      <c r="C27" s="2">
        <v>171.65</v>
      </c>
      <c r="D27" s="2">
        <v>464.1</v>
      </c>
      <c r="E27" s="2">
        <v>774.2</v>
      </c>
      <c r="F27" s="2">
        <v>88.139700000000005</v>
      </c>
    </row>
    <row r="28" spans="1:6" x14ac:dyDescent="0.25">
      <c r="A28" s="1">
        <v>45817</v>
      </c>
      <c r="B28" s="2">
        <v>65.683800000000005</v>
      </c>
      <c r="C28" s="2">
        <v>174.05</v>
      </c>
      <c r="D28" s="2">
        <v>471.9</v>
      </c>
      <c r="E28" s="2">
        <v>790</v>
      </c>
      <c r="F28" s="2">
        <v>88.793899999999994</v>
      </c>
    </row>
    <row r="29" spans="1:6" x14ac:dyDescent="0.25">
      <c r="A29" s="1">
        <v>45818</v>
      </c>
      <c r="B29" s="2">
        <v>67.959100000000007</v>
      </c>
      <c r="C29" s="2">
        <v>179.7</v>
      </c>
      <c r="D29" s="2">
        <v>479.8</v>
      </c>
      <c r="E29" s="2">
        <v>805.8</v>
      </c>
      <c r="F29" s="2">
        <v>90.647599999999997</v>
      </c>
    </row>
    <row r="30" spans="1:6" x14ac:dyDescent="0.25">
      <c r="A30" s="1">
        <v>45819</v>
      </c>
      <c r="B30" s="2">
        <v>67.772599999999997</v>
      </c>
      <c r="C30" s="2">
        <v>182.3</v>
      </c>
      <c r="D30" s="2">
        <v>475.4</v>
      </c>
      <c r="E30" s="2">
        <v>781.8</v>
      </c>
      <c r="F30" s="2">
        <v>90.1751</v>
      </c>
    </row>
    <row r="31" spans="1:6" x14ac:dyDescent="0.25">
      <c r="A31" s="1">
        <v>45820</v>
      </c>
      <c r="B31" s="2">
        <v>66.728200000000001</v>
      </c>
      <c r="C31" s="2">
        <v>180</v>
      </c>
      <c r="D31" s="2">
        <v>477.8</v>
      </c>
      <c r="E31" s="2">
        <v>782.8</v>
      </c>
      <c r="F31" s="2">
        <v>89.847999999999999</v>
      </c>
    </row>
    <row r="32" spans="1:6" x14ac:dyDescent="0.25">
      <c r="A32" s="1">
        <v>45821</v>
      </c>
      <c r="B32" s="2">
        <v>65.609200000000001</v>
      </c>
      <c r="C32" s="2">
        <v>176.75</v>
      </c>
      <c r="D32" s="2">
        <v>468</v>
      </c>
      <c r="E32" s="2">
        <v>766.8</v>
      </c>
      <c r="F32" s="2">
        <v>87.685400000000001</v>
      </c>
    </row>
    <row r="33" spans="1:6" x14ac:dyDescent="0.25">
      <c r="A33" s="1">
        <v>45824</v>
      </c>
      <c r="B33" s="2">
        <v>65.627899999999997</v>
      </c>
      <c r="C33" s="2">
        <v>176.85</v>
      </c>
      <c r="D33" s="2">
        <v>468.3</v>
      </c>
      <c r="E33" s="2">
        <v>765.2</v>
      </c>
      <c r="F33" s="2">
        <v>88.412300000000002</v>
      </c>
    </row>
    <row r="34" spans="1:6" x14ac:dyDescent="0.25">
      <c r="A34" s="1">
        <v>45825</v>
      </c>
      <c r="B34" s="2">
        <v>65.683800000000005</v>
      </c>
      <c r="C34" s="2">
        <v>176.5</v>
      </c>
      <c r="D34" s="2">
        <v>474</v>
      </c>
      <c r="E34" s="2">
        <v>751</v>
      </c>
      <c r="F34" s="2">
        <v>90.047899999999998</v>
      </c>
    </row>
    <row r="35" spans="1:6" x14ac:dyDescent="0.25">
      <c r="A35" s="1">
        <v>45826</v>
      </c>
      <c r="B35" s="2">
        <v>65.3108</v>
      </c>
      <c r="C35" s="2">
        <v>175.2</v>
      </c>
      <c r="D35" s="2">
        <v>466.6</v>
      </c>
      <c r="E35" s="2">
        <v>745.2</v>
      </c>
      <c r="F35" s="2">
        <v>89.611699999999999</v>
      </c>
    </row>
    <row r="36" spans="1:6" x14ac:dyDescent="0.25">
      <c r="A36" s="1">
        <v>45828</v>
      </c>
      <c r="B36" s="2">
        <v>65.758399999999995</v>
      </c>
      <c r="C36" s="2">
        <v>175.6</v>
      </c>
      <c r="D36" s="2">
        <v>468.4</v>
      </c>
      <c r="E36" s="2">
        <v>753</v>
      </c>
      <c r="F36" s="2">
        <v>89.43</v>
      </c>
    </row>
    <row r="37" spans="1:6" x14ac:dyDescent="0.25">
      <c r="A37" s="1">
        <v>45831</v>
      </c>
      <c r="B37" s="2">
        <v>63.912100000000002</v>
      </c>
      <c r="C37" s="2">
        <v>170.45</v>
      </c>
      <c r="D37" s="2">
        <v>457.6</v>
      </c>
      <c r="E37" s="2">
        <v>725.2</v>
      </c>
      <c r="F37" s="2">
        <v>86.322400000000002</v>
      </c>
    </row>
    <row r="38" spans="1:6" x14ac:dyDescent="0.25">
      <c r="A38" s="1">
        <v>45832</v>
      </c>
      <c r="B38" s="2">
        <v>67.791200000000003</v>
      </c>
      <c r="C38" s="2">
        <v>181.1</v>
      </c>
      <c r="D38" s="2">
        <v>473.2</v>
      </c>
      <c r="E38" s="2">
        <v>767</v>
      </c>
      <c r="F38" s="2">
        <v>90.774799999999999</v>
      </c>
    </row>
    <row r="39" spans="1:6" x14ac:dyDescent="0.25">
      <c r="A39" s="1">
        <v>45833</v>
      </c>
      <c r="B39" s="2">
        <v>66.299300000000002</v>
      </c>
      <c r="C39" s="2">
        <v>177.25</v>
      </c>
      <c r="D39" s="2">
        <v>467.3</v>
      </c>
      <c r="E39" s="2">
        <v>756.4</v>
      </c>
      <c r="F39" s="2">
        <v>90.011499999999998</v>
      </c>
    </row>
    <row r="40" spans="1:6" x14ac:dyDescent="0.25">
      <c r="A40" s="1">
        <v>45834</v>
      </c>
      <c r="B40" s="2">
        <v>68.723699999999994</v>
      </c>
      <c r="C40" s="2">
        <v>182.15</v>
      </c>
      <c r="D40" s="2">
        <v>473</v>
      </c>
      <c r="E40" s="2">
        <v>771.2</v>
      </c>
      <c r="F40" s="2">
        <v>91.32</v>
      </c>
    </row>
    <row r="41" spans="1:6" x14ac:dyDescent="0.25">
      <c r="A41" s="1">
        <v>45835</v>
      </c>
      <c r="B41" s="2">
        <v>68.760999999999996</v>
      </c>
      <c r="C41" s="2">
        <v>182</v>
      </c>
      <c r="D41" s="2">
        <v>482</v>
      </c>
      <c r="E41" s="2">
        <v>774</v>
      </c>
      <c r="F41" s="2">
        <v>92.76</v>
      </c>
    </row>
    <row r="42" spans="1:6" x14ac:dyDescent="0.25">
      <c r="A42" s="1">
        <v>45838</v>
      </c>
      <c r="B42" s="2">
        <v>70.159700000000001</v>
      </c>
      <c r="C42" s="2">
        <v>185</v>
      </c>
      <c r="D42" s="2">
        <v>493.6</v>
      </c>
      <c r="E42" s="2">
        <v>798</v>
      </c>
      <c r="F42" s="2">
        <v>94.6</v>
      </c>
    </row>
    <row r="43" spans="1:6" x14ac:dyDescent="0.25">
      <c r="A43" s="1">
        <v>45839</v>
      </c>
      <c r="B43" s="2">
        <v>69.227199999999996</v>
      </c>
      <c r="C43" s="2">
        <v>182.5</v>
      </c>
      <c r="D43" s="2">
        <v>487</v>
      </c>
      <c r="E43" s="2">
        <v>793.4</v>
      </c>
      <c r="F43" s="2">
        <v>93.24</v>
      </c>
    </row>
    <row r="44" spans="1:6" x14ac:dyDescent="0.25">
      <c r="A44" s="1">
        <v>45840</v>
      </c>
      <c r="B44" s="2">
        <v>70.346199999999996</v>
      </c>
      <c r="C44" s="2">
        <v>183.7</v>
      </c>
      <c r="D44" s="2">
        <v>490.1</v>
      </c>
      <c r="E44" s="2">
        <v>787</v>
      </c>
      <c r="F44" s="2">
        <v>94.46</v>
      </c>
    </row>
    <row r="45" spans="1:6" x14ac:dyDescent="0.25">
      <c r="A45" s="1">
        <v>45841</v>
      </c>
      <c r="B45" s="2">
        <v>72.248500000000007</v>
      </c>
      <c r="C45" s="2">
        <v>189.25</v>
      </c>
      <c r="D45" s="2">
        <v>519</v>
      </c>
      <c r="E45" s="2">
        <v>806.2</v>
      </c>
      <c r="F45" s="2">
        <v>98.9</v>
      </c>
    </row>
    <row r="46" spans="1:6" x14ac:dyDescent="0.25">
      <c r="A46" s="1">
        <v>45842</v>
      </c>
      <c r="B46" s="2">
        <v>71.726299999999995</v>
      </c>
      <c r="C46" s="2">
        <v>188.5</v>
      </c>
      <c r="D46" s="2">
        <v>512.6</v>
      </c>
      <c r="E46" s="2">
        <v>787</v>
      </c>
      <c r="F46" s="2">
        <v>97</v>
      </c>
    </row>
    <row r="47" spans="1:6" x14ac:dyDescent="0.25">
      <c r="A47" s="1">
        <v>45845</v>
      </c>
      <c r="B47" s="2">
        <v>71.744900000000001</v>
      </c>
      <c r="C47" s="2">
        <v>188.4</v>
      </c>
      <c r="D47" s="2">
        <v>513</v>
      </c>
      <c r="E47" s="2">
        <v>784.2</v>
      </c>
      <c r="F47" s="2">
        <v>98.96</v>
      </c>
    </row>
    <row r="48" spans="1:6" x14ac:dyDescent="0.25">
      <c r="A48" s="1">
        <v>45846</v>
      </c>
      <c r="B48" s="2">
        <v>73.199600000000004</v>
      </c>
      <c r="C48" s="2">
        <v>190.45</v>
      </c>
      <c r="D48" s="2">
        <v>517.6</v>
      </c>
      <c r="E48" s="2">
        <v>795</v>
      </c>
      <c r="F48" s="2">
        <v>100.5</v>
      </c>
    </row>
    <row r="49" spans="1:6" x14ac:dyDescent="0.25">
      <c r="A49" s="1">
        <v>45847</v>
      </c>
      <c r="B49" s="2">
        <v>74.020200000000003</v>
      </c>
      <c r="C49" s="2">
        <v>191.5</v>
      </c>
      <c r="D49" s="2">
        <v>516</v>
      </c>
      <c r="E49" s="2">
        <v>791.8</v>
      </c>
      <c r="F49" s="2">
        <v>101.95</v>
      </c>
    </row>
    <row r="50" spans="1:6" x14ac:dyDescent="0.25">
      <c r="A50" s="1">
        <v>45848</v>
      </c>
      <c r="B50" s="2">
        <v>72.360399999999998</v>
      </c>
      <c r="C50" s="2">
        <v>185.15</v>
      </c>
      <c r="D50" s="2">
        <v>506.2</v>
      </c>
      <c r="E50" s="2">
        <v>767</v>
      </c>
      <c r="F50" s="2">
        <v>98.84</v>
      </c>
    </row>
    <row r="51" spans="1:6" x14ac:dyDescent="0.25">
      <c r="A51" s="1">
        <v>45849</v>
      </c>
      <c r="B51" s="2">
        <v>72.621499999999997</v>
      </c>
      <c r="C51" s="2">
        <v>184.95</v>
      </c>
      <c r="D51" s="2">
        <v>503.4</v>
      </c>
      <c r="E51" s="2">
        <v>770.8</v>
      </c>
      <c r="F51" s="2">
        <v>96.56</v>
      </c>
    </row>
    <row r="52" spans="1:6" x14ac:dyDescent="0.25">
      <c r="A52" s="1">
        <v>45852</v>
      </c>
      <c r="B52" s="2">
        <v>72.901200000000003</v>
      </c>
      <c r="C52" s="2">
        <v>187</v>
      </c>
      <c r="D52" s="2">
        <v>505</v>
      </c>
      <c r="E52" s="2">
        <v>770</v>
      </c>
      <c r="F52" s="2">
        <v>97.08</v>
      </c>
    </row>
    <row r="53" spans="1:6" x14ac:dyDescent="0.25">
      <c r="A53" s="1">
        <v>45853</v>
      </c>
      <c r="B53" s="2">
        <v>73.218299999999999</v>
      </c>
      <c r="C53" s="2">
        <v>186.95</v>
      </c>
      <c r="D53" s="2">
        <v>502.8</v>
      </c>
      <c r="E53" s="2">
        <v>770.4</v>
      </c>
      <c r="F53" s="2">
        <v>96.4</v>
      </c>
    </row>
    <row r="54" spans="1:6" x14ac:dyDescent="0.25">
      <c r="A54" s="1">
        <v>45854</v>
      </c>
      <c r="B54" s="2">
        <v>73.591200000000001</v>
      </c>
      <c r="C54" s="2">
        <v>188.65</v>
      </c>
      <c r="D54" s="2">
        <v>497.3</v>
      </c>
      <c r="E54" s="2">
        <v>778.6</v>
      </c>
      <c r="F54" s="2">
        <v>96.88</v>
      </c>
    </row>
    <row r="55" spans="1:6" x14ac:dyDescent="0.25">
      <c r="A55" s="1">
        <v>45855</v>
      </c>
      <c r="B55" s="2">
        <v>75.195099999999996</v>
      </c>
      <c r="C55" s="2">
        <v>192.85</v>
      </c>
      <c r="D55" s="2">
        <v>511.8</v>
      </c>
      <c r="E55" s="2">
        <v>820.8</v>
      </c>
      <c r="F55" s="2">
        <v>98.52</v>
      </c>
    </row>
    <row r="56" spans="1:6" x14ac:dyDescent="0.25">
      <c r="A56" s="1">
        <v>45856</v>
      </c>
      <c r="B56" s="2">
        <v>76.668400000000005</v>
      </c>
      <c r="C56" s="2">
        <v>197.75</v>
      </c>
      <c r="D56" s="2">
        <v>519.6</v>
      </c>
      <c r="E56" s="2">
        <v>854</v>
      </c>
      <c r="F56" s="2">
        <v>100.5</v>
      </c>
    </row>
    <row r="57" spans="1:6" x14ac:dyDescent="0.25">
      <c r="A57" s="1">
        <v>45859</v>
      </c>
      <c r="B57" s="2">
        <v>75.101900000000001</v>
      </c>
      <c r="C57" s="2">
        <v>196.8</v>
      </c>
      <c r="D57" s="2">
        <v>522.6</v>
      </c>
      <c r="E57" s="2">
        <v>845.4</v>
      </c>
      <c r="F57" s="2">
        <v>100.15</v>
      </c>
    </row>
    <row r="58" spans="1:6" x14ac:dyDescent="0.25">
      <c r="A58" s="1">
        <v>45860</v>
      </c>
      <c r="B58" s="2">
        <v>74.411799999999999</v>
      </c>
      <c r="C58" s="2">
        <v>195.5</v>
      </c>
      <c r="D58" s="2">
        <v>518.4</v>
      </c>
      <c r="E58" s="2">
        <v>837</v>
      </c>
      <c r="F58" s="2">
        <v>98.7</v>
      </c>
    </row>
    <row r="59" spans="1:6" x14ac:dyDescent="0.25">
      <c r="A59" s="1">
        <v>45861</v>
      </c>
      <c r="B59" s="2">
        <v>74.486400000000003</v>
      </c>
      <c r="C59" s="2">
        <v>197.15</v>
      </c>
      <c r="D59" s="2">
        <v>524.79999999999995</v>
      </c>
      <c r="E59" s="2">
        <v>848.8</v>
      </c>
      <c r="F59" s="2">
        <v>98.8</v>
      </c>
    </row>
    <row r="60" spans="1:6" x14ac:dyDescent="0.25">
      <c r="A60" s="1">
        <v>45862</v>
      </c>
      <c r="B60" s="2">
        <v>76.724400000000003</v>
      </c>
      <c r="C60" s="2">
        <v>202</v>
      </c>
      <c r="D60" s="2">
        <v>537</v>
      </c>
      <c r="E60" s="2">
        <v>860</v>
      </c>
      <c r="F60" s="2">
        <v>102.4</v>
      </c>
    </row>
    <row r="61" spans="1:6" x14ac:dyDescent="0.25">
      <c r="A61" s="1">
        <v>45863</v>
      </c>
      <c r="B61" s="2">
        <v>76.817599999999999</v>
      </c>
      <c r="C61" s="2">
        <v>202.6</v>
      </c>
      <c r="D61" s="2">
        <v>537.6</v>
      </c>
      <c r="E61" s="2">
        <v>877</v>
      </c>
      <c r="F61" s="2">
        <v>102.7</v>
      </c>
    </row>
    <row r="62" spans="1:6" x14ac:dyDescent="0.25">
      <c r="A62" s="1">
        <v>45866</v>
      </c>
      <c r="B62" s="2">
        <v>74.933999999999997</v>
      </c>
      <c r="C62" s="2">
        <v>197.7</v>
      </c>
      <c r="D62" s="2">
        <v>526.20000000000005</v>
      </c>
      <c r="E62" s="2">
        <v>864.2</v>
      </c>
      <c r="F62" s="2">
        <v>100.8</v>
      </c>
    </row>
    <row r="63" spans="1:6" x14ac:dyDescent="0.25">
      <c r="A63" s="1">
        <v>45867</v>
      </c>
      <c r="B63" s="2">
        <v>76.519199999999998</v>
      </c>
      <c r="C63" s="2">
        <v>202.4</v>
      </c>
      <c r="D63" s="2">
        <v>535.4</v>
      </c>
      <c r="E63" s="2">
        <v>878</v>
      </c>
      <c r="F63" s="2">
        <v>103</v>
      </c>
    </row>
    <row r="64" spans="1:6" x14ac:dyDescent="0.25">
      <c r="A64" s="1">
        <v>45868</v>
      </c>
      <c r="B64" s="2">
        <v>77.190600000000003</v>
      </c>
      <c r="C64" s="2">
        <v>204.5</v>
      </c>
      <c r="D64" s="2">
        <v>552</v>
      </c>
      <c r="E64" s="2">
        <v>886.4</v>
      </c>
      <c r="F64" s="2">
        <v>102.45</v>
      </c>
    </row>
    <row r="65" spans="1:6" x14ac:dyDescent="0.25">
      <c r="A65" s="1">
        <v>45869</v>
      </c>
      <c r="B65" s="2">
        <v>76.817599999999999</v>
      </c>
      <c r="C65" s="2">
        <v>204.7</v>
      </c>
      <c r="D65" s="2">
        <v>549.4</v>
      </c>
      <c r="E65" s="2">
        <v>888.6</v>
      </c>
      <c r="F65" s="2">
        <v>101.25</v>
      </c>
    </row>
    <row r="66" spans="1:6" x14ac:dyDescent="0.25">
      <c r="A66" s="1">
        <v>45870</v>
      </c>
      <c r="B66" s="2">
        <v>75.680000000000007</v>
      </c>
      <c r="C66" s="2">
        <v>199.55</v>
      </c>
      <c r="D66" s="2">
        <v>524.20000000000005</v>
      </c>
      <c r="E66" s="2">
        <v>866</v>
      </c>
      <c r="F66" s="2">
        <v>99.06</v>
      </c>
    </row>
    <row r="67" spans="1:6" x14ac:dyDescent="0.25">
      <c r="A67" s="1">
        <v>45873</v>
      </c>
      <c r="B67" s="2">
        <v>76.72</v>
      </c>
      <c r="C67" s="2">
        <v>203.9</v>
      </c>
      <c r="D67" s="2">
        <v>534.79999999999995</v>
      </c>
      <c r="E67" s="2">
        <v>890.2</v>
      </c>
      <c r="F67" s="2">
        <v>100.3</v>
      </c>
    </row>
    <row r="68" spans="1:6" x14ac:dyDescent="0.25">
      <c r="A68" s="1">
        <v>45874</v>
      </c>
      <c r="B68" s="2">
        <v>76.48</v>
      </c>
      <c r="C68" s="2">
        <v>204.3</v>
      </c>
      <c r="D68" s="2">
        <v>520.6</v>
      </c>
      <c r="E68" s="2">
        <v>869.2</v>
      </c>
      <c r="F68" s="2">
        <v>99.74</v>
      </c>
    </row>
    <row r="69" spans="1:6" x14ac:dyDescent="0.25">
      <c r="A69" s="1">
        <v>45875</v>
      </c>
      <c r="B69" s="2">
        <v>79.400000000000006</v>
      </c>
      <c r="C69" s="2">
        <v>212.5</v>
      </c>
      <c r="D69" s="2">
        <v>539.79999999999995</v>
      </c>
      <c r="E69" s="2">
        <v>902.8</v>
      </c>
      <c r="F69" s="2">
        <v>106.85</v>
      </c>
    </row>
    <row r="70" spans="1:6" x14ac:dyDescent="0.25">
      <c r="A70" s="1">
        <v>45876</v>
      </c>
      <c r="B70" s="2">
        <v>81.5</v>
      </c>
      <c r="C70" s="2">
        <v>218.1</v>
      </c>
      <c r="D70" s="2">
        <v>553.20000000000005</v>
      </c>
      <c r="E70" s="2">
        <v>943.2</v>
      </c>
      <c r="F70" s="2">
        <v>114</v>
      </c>
    </row>
    <row r="71" spans="1:6" x14ac:dyDescent="0.25">
      <c r="A71" s="1">
        <v>45877</v>
      </c>
      <c r="B71" s="2">
        <v>83.52</v>
      </c>
      <c r="C71" s="2">
        <v>222.1</v>
      </c>
      <c r="D71" s="2">
        <v>567.6</v>
      </c>
      <c r="E71" s="2">
        <v>961.6</v>
      </c>
      <c r="F71" s="2">
        <v>115.6</v>
      </c>
    </row>
    <row r="72" spans="1:6" x14ac:dyDescent="0.25">
      <c r="A72" s="1">
        <v>45880</v>
      </c>
      <c r="B72" s="2">
        <v>82.88</v>
      </c>
      <c r="C72" s="2">
        <v>219</v>
      </c>
      <c r="D72" s="2">
        <v>564</v>
      </c>
      <c r="E72" s="2">
        <v>982.6</v>
      </c>
      <c r="F72" s="2">
        <v>115</v>
      </c>
    </row>
    <row r="73" spans="1:6" x14ac:dyDescent="0.25">
      <c r="A73" s="1">
        <v>45881</v>
      </c>
      <c r="B73" s="2">
        <v>83.38</v>
      </c>
      <c r="C73" s="2">
        <v>219.7</v>
      </c>
      <c r="D73" s="2">
        <v>572.20000000000005</v>
      </c>
      <c r="E73" s="2">
        <v>982.4</v>
      </c>
      <c r="F73" s="2">
        <v>117.55</v>
      </c>
    </row>
    <row r="74" spans="1:6" x14ac:dyDescent="0.25">
      <c r="A74" s="1">
        <v>45882</v>
      </c>
      <c r="B74" s="2">
        <v>85.14</v>
      </c>
      <c r="C74" s="2">
        <v>218.1</v>
      </c>
      <c r="D74" s="2">
        <v>567.20000000000005</v>
      </c>
      <c r="E74" s="2">
        <v>995</v>
      </c>
      <c r="F74" s="2">
        <v>117.75</v>
      </c>
    </row>
    <row r="75" spans="1:6" x14ac:dyDescent="0.25">
      <c r="A75" s="1">
        <v>45883</v>
      </c>
      <c r="B75" s="2">
        <v>83.28</v>
      </c>
      <c r="C75" s="2">
        <v>210.8</v>
      </c>
      <c r="D75" s="2">
        <v>549</v>
      </c>
      <c r="E75" s="2">
        <v>991.6</v>
      </c>
      <c r="F75" s="2">
        <v>115.7</v>
      </c>
    </row>
    <row r="76" spans="1:6" x14ac:dyDescent="0.25">
      <c r="A76" s="1">
        <v>45887</v>
      </c>
      <c r="B76" s="2">
        <v>82.5</v>
      </c>
      <c r="C76" s="2">
        <v>211.7</v>
      </c>
      <c r="D76" s="2">
        <v>545</v>
      </c>
      <c r="E76" s="2">
        <v>993.2</v>
      </c>
      <c r="F76" s="2">
        <v>115.8</v>
      </c>
    </row>
    <row r="77" spans="1:6" x14ac:dyDescent="0.25">
      <c r="A77" s="1">
        <v>45888</v>
      </c>
      <c r="B77" s="2">
        <v>82.94</v>
      </c>
      <c r="C77" s="2">
        <v>213.4</v>
      </c>
      <c r="D77" s="2">
        <v>555.20000000000005</v>
      </c>
      <c r="E77" s="2">
        <v>1000</v>
      </c>
      <c r="F77" s="2">
        <v>116.85</v>
      </c>
    </row>
    <row r="78" spans="1:6" x14ac:dyDescent="0.25">
      <c r="A78" s="1">
        <v>45889</v>
      </c>
      <c r="B78" s="2">
        <v>82.58</v>
      </c>
      <c r="C78" s="2">
        <v>213</v>
      </c>
      <c r="D78" s="2">
        <v>550</v>
      </c>
      <c r="E78" s="2">
        <v>985.2</v>
      </c>
      <c r="F78" s="2">
        <v>117.05</v>
      </c>
    </row>
    <row r="79" spans="1:6" x14ac:dyDescent="0.25">
      <c r="A79" s="1">
        <v>45890</v>
      </c>
      <c r="B79" s="2">
        <v>83.74</v>
      </c>
      <c r="C79" s="2">
        <v>214.5</v>
      </c>
      <c r="D79" s="2">
        <v>555.4</v>
      </c>
      <c r="E79" s="2">
        <v>997.6</v>
      </c>
      <c r="F79" s="2">
        <v>118</v>
      </c>
    </row>
    <row r="80" spans="1:6" x14ac:dyDescent="0.25">
      <c r="A80" s="1">
        <v>45891</v>
      </c>
      <c r="B80" s="2">
        <v>73.5</v>
      </c>
      <c r="C80" s="2">
        <v>190.4</v>
      </c>
      <c r="D80" s="2">
        <v>509.8</v>
      </c>
      <c r="E80" s="2">
        <v>920</v>
      </c>
      <c r="F80" s="2">
        <v>107</v>
      </c>
    </row>
    <row r="81" spans="1:6" x14ac:dyDescent="0.25">
      <c r="A81" s="1">
        <v>45894</v>
      </c>
      <c r="B81" s="2">
        <v>74.459999999999994</v>
      </c>
      <c r="C81" s="2">
        <v>191.7</v>
      </c>
      <c r="D81" s="2">
        <v>523</v>
      </c>
      <c r="E81" s="2">
        <v>938.2</v>
      </c>
      <c r="F81" s="2">
        <v>108.2</v>
      </c>
    </row>
    <row r="82" spans="1:6" x14ac:dyDescent="0.25">
      <c r="A82" s="1">
        <v>45895</v>
      </c>
      <c r="B82" s="2">
        <v>74.3</v>
      </c>
      <c r="C82" s="2">
        <v>191.45</v>
      </c>
      <c r="D82" s="2">
        <v>529.4</v>
      </c>
      <c r="E82" s="2">
        <v>942.2</v>
      </c>
      <c r="F82" s="2">
        <v>109.4</v>
      </c>
    </row>
    <row r="83" spans="1:6" x14ac:dyDescent="0.25">
      <c r="A83" s="1">
        <v>45896</v>
      </c>
      <c r="B83" s="2">
        <v>73.78</v>
      </c>
      <c r="C83" s="2">
        <v>188.85</v>
      </c>
      <c r="D83" s="2">
        <v>519.20000000000005</v>
      </c>
      <c r="E83" s="2">
        <v>908</v>
      </c>
      <c r="F83" s="2">
        <v>107.35</v>
      </c>
    </row>
    <row r="84" spans="1:6" x14ac:dyDescent="0.25">
      <c r="A84" s="1">
        <v>45897</v>
      </c>
      <c r="B84" s="2">
        <v>73.2</v>
      </c>
      <c r="C84" s="2">
        <v>186.15</v>
      </c>
      <c r="D84" s="2">
        <v>514</v>
      </c>
      <c r="E84" s="2">
        <v>902</v>
      </c>
      <c r="F84" s="2">
        <v>107.15</v>
      </c>
    </row>
    <row r="85" spans="1:6" x14ac:dyDescent="0.25">
      <c r="A85" s="1">
        <v>45898</v>
      </c>
      <c r="B85" s="2">
        <v>71</v>
      </c>
      <c r="C85" s="2">
        <v>183.25</v>
      </c>
      <c r="D85" s="2">
        <v>506</v>
      </c>
      <c r="E85" s="2">
        <v>878.2</v>
      </c>
      <c r="F85" s="2">
        <v>103.7</v>
      </c>
    </row>
    <row r="86" spans="1:6" x14ac:dyDescent="0.25">
      <c r="A86" s="1">
        <v>45901</v>
      </c>
      <c r="B86" s="2">
        <v>70.12</v>
      </c>
      <c r="C86" s="2">
        <v>181.7</v>
      </c>
      <c r="D86" s="2">
        <v>493</v>
      </c>
      <c r="E86" s="2">
        <v>874</v>
      </c>
      <c r="F86" s="2">
        <v>102.5</v>
      </c>
    </row>
    <row r="87" spans="1:6" x14ac:dyDescent="0.25">
      <c r="A87" s="1">
        <v>45902</v>
      </c>
      <c r="B87" s="2">
        <v>71.14</v>
      </c>
      <c r="C87" s="2">
        <v>182.85</v>
      </c>
      <c r="D87" s="2">
        <v>502.8</v>
      </c>
      <c r="E87" s="2">
        <v>863.4</v>
      </c>
      <c r="F87" s="2">
        <v>103</v>
      </c>
    </row>
    <row r="88" spans="1:6" x14ac:dyDescent="0.25">
      <c r="A88" s="1">
        <v>45903</v>
      </c>
      <c r="B88" s="2">
        <v>71.62</v>
      </c>
      <c r="C88" s="2">
        <v>181</v>
      </c>
      <c r="D88" s="2">
        <v>496.9</v>
      </c>
      <c r="E88" s="2">
        <v>861</v>
      </c>
      <c r="F88" s="2">
        <v>103.65</v>
      </c>
    </row>
    <row r="89" spans="1:6" x14ac:dyDescent="0.25">
      <c r="A89" s="1">
        <v>45904</v>
      </c>
      <c r="B89" s="2">
        <v>73.599999999999994</v>
      </c>
      <c r="C89" s="2">
        <v>188.15</v>
      </c>
      <c r="D89" s="2">
        <v>501.8</v>
      </c>
      <c r="E89" s="2">
        <v>883</v>
      </c>
      <c r="F89" s="2">
        <v>106.85</v>
      </c>
    </row>
    <row r="90" spans="1:6" x14ac:dyDescent="0.25">
      <c r="A90" s="1">
        <v>45905</v>
      </c>
      <c r="B90" s="2">
        <v>71.260000000000005</v>
      </c>
      <c r="C90" s="2">
        <v>180.1</v>
      </c>
      <c r="D90" s="2">
        <v>492.9</v>
      </c>
      <c r="E90" s="2">
        <v>877.2</v>
      </c>
      <c r="F90" s="2">
        <v>104.1</v>
      </c>
    </row>
    <row r="91" spans="1:6" x14ac:dyDescent="0.25">
      <c r="A91" s="1">
        <v>45908</v>
      </c>
      <c r="B91" s="2">
        <v>72.86</v>
      </c>
      <c r="C91" s="2">
        <v>183.05</v>
      </c>
      <c r="D91" s="2">
        <v>507.6</v>
      </c>
      <c r="E91" s="2">
        <v>907.4</v>
      </c>
      <c r="F91" s="2">
        <v>107.4</v>
      </c>
    </row>
    <row r="92" spans="1:6" x14ac:dyDescent="0.25">
      <c r="A92" s="1">
        <v>45909</v>
      </c>
      <c r="B92" s="2">
        <v>72.180000000000007</v>
      </c>
      <c r="C92" s="2">
        <v>180.85</v>
      </c>
      <c r="D92" s="2">
        <v>502.2</v>
      </c>
      <c r="E92" s="2">
        <v>891.6</v>
      </c>
      <c r="F92" s="2">
        <v>106.85</v>
      </c>
    </row>
    <row r="93" spans="1:6" x14ac:dyDescent="0.25">
      <c r="A93" s="1">
        <v>45910</v>
      </c>
      <c r="B93" s="2">
        <v>71.16</v>
      </c>
      <c r="C93" s="2">
        <v>178.2</v>
      </c>
      <c r="D93" s="2">
        <v>495</v>
      </c>
      <c r="E93" s="2">
        <v>878</v>
      </c>
      <c r="F93" s="2">
        <v>104.3</v>
      </c>
    </row>
    <row r="94" spans="1:6" x14ac:dyDescent="0.25">
      <c r="A94" s="1">
        <v>45911</v>
      </c>
      <c r="B94" s="2">
        <v>72.599999999999994</v>
      </c>
      <c r="C94" s="2">
        <v>181.15</v>
      </c>
      <c r="D94" s="2">
        <v>503.8</v>
      </c>
      <c r="E94" s="2">
        <v>895.6</v>
      </c>
      <c r="F94" s="2">
        <v>107.55</v>
      </c>
    </row>
    <row r="95" spans="1:6" x14ac:dyDescent="0.25">
      <c r="A95" s="1">
        <v>45912</v>
      </c>
      <c r="B95" s="2">
        <v>71.88</v>
      </c>
      <c r="C95" s="2">
        <v>179.6</v>
      </c>
      <c r="D95" s="2">
        <v>496.9</v>
      </c>
      <c r="E95" s="2">
        <v>890.8</v>
      </c>
      <c r="F95" s="2">
        <v>106</v>
      </c>
    </row>
    <row r="96" spans="1:6" x14ac:dyDescent="0.25">
      <c r="A96" s="1">
        <v>45915</v>
      </c>
      <c r="B96" s="2">
        <v>71.819999999999993</v>
      </c>
      <c r="C96" s="2">
        <v>180.2</v>
      </c>
      <c r="D96" s="2">
        <v>504.4</v>
      </c>
      <c r="E96" s="2">
        <v>924.2</v>
      </c>
      <c r="F96" s="2">
        <v>106.3</v>
      </c>
    </row>
    <row r="97" spans="1:6" x14ac:dyDescent="0.25">
      <c r="A97" s="1">
        <v>45916</v>
      </c>
      <c r="B97" s="2">
        <v>70.540000000000006</v>
      </c>
      <c r="C97" s="2">
        <v>176.9</v>
      </c>
      <c r="D97" s="2">
        <v>490.4</v>
      </c>
      <c r="E97" s="2">
        <v>902</v>
      </c>
      <c r="F97" s="2">
        <v>104.3</v>
      </c>
    </row>
    <row r="98" spans="1:6" x14ac:dyDescent="0.25">
      <c r="A98" s="1">
        <v>45917</v>
      </c>
      <c r="B98" s="2">
        <v>69.98</v>
      </c>
      <c r="C98" s="2">
        <v>177.3</v>
      </c>
      <c r="D98" s="2">
        <v>488</v>
      </c>
      <c r="E98" s="2">
        <v>902.6</v>
      </c>
      <c r="F98" s="2">
        <v>104.05</v>
      </c>
    </row>
    <row r="99" spans="1:6" x14ac:dyDescent="0.25">
      <c r="A99" s="1">
        <v>45918</v>
      </c>
      <c r="B99" s="2">
        <v>69.92</v>
      </c>
      <c r="C99" s="2">
        <v>177.5</v>
      </c>
      <c r="D99" s="2">
        <v>483.1</v>
      </c>
      <c r="E99" s="2">
        <v>920</v>
      </c>
      <c r="F99" s="2">
        <v>104.75</v>
      </c>
    </row>
    <row r="100" spans="1:6" x14ac:dyDescent="0.25">
      <c r="A100" s="1">
        <v>45919</v>
      </c>
      <c r="B100" s="2">
        <v>70.22</v>
      </c>
      <c r="C100" s="2">
        <v>178.65</v>
      </c>
      <c r="D100" s="2">
        <v>485.8</v>
      </c>
      <c r="E100" s="2">
        <v>915</v>
      </c>
      <c r="F100" s="2">
        <v>105</v>
      </c>
    </row>
    <row r="101" spans="1:6" x14ac:dyDescent="0.25">
      <c r="A101" s="1">
        <v>45922</v>
      </c>
      <c r="B101" s="2">
        <v>69.040000000000006</v>
      </c>
      <c r="C101" s="2">
        <v>177.1</v>
      </c>
      <c r="D101" s="2">
        <v>470.6</v>
      </c>
      <c r="E101" s="2">
        <v>888</v>
      </c>
      <c r="F101" s="2">
        <v>103.1</v>
      </c>
    </row>
    <row r="102" spans="1:6" x14ac:dyDescent="0.25">
      <c r="A102" s="1">
        <v>45923</v>
      </c>
      <c r="B102" s="2">
        <v>69.34</v>
      </c>
      <c r="C102" s="2">
        <v>176.95</v>
      </c>
      <c r="D102" s="2">
        <v>475.3</v>
      </c>
      <c r="E102" s="2">
        <v>899.8</v>
      </c>
      <c r="F102" s="2">
        <v>104.5</v>
      </c>
    </row>
    <row r="103" spans="1:6" x14ac:dyDescent="0.25">
      <c r="A103" s="1">
        <v>45924</v>
      </c>
      <c r="B103" s="2">
        <v>69.459999999999994</v>
      </c>
      <c r="C103" s="2">
        <v>176.85</v>
      </c>
      <c r="D103" s="2">
        <v>470.3</v>
      </c>
      <c r="E103" s="2">
        <v>893.8</v>
      </c>
      <c r="F103" s="2">
        <v>104.25</v>
      </c>
    </row>
    <row r="104" spans="1:6" x14ac:dyDescent="0.25">
      <c r="A104" s="1">
        <v>45925</v>
      </c>
      <c r="B104" s="2">
        <v>68.459999999999994</v>
      </c>
      <c r="C104" s="2">
        <v>172</v>
      </c>
      <c r="D104" s="2">
        <v>467.2</v>
      </c>
      <c r="E104" s="2">
        <v>868.6</v>
      </c>
      <c r="F104" s="2">
        <v>101.9</v>
      </c>
    </row>
    <row r="105" spans="1:6" x14ac:dyDescent="0.25">
      <c r="A105" s="1">
        <v>45926</v>
      </c>
      <c r="B105" s="2">
        <v>70.52</v>
      </c>
      <c r="C105" s="2">
        <v>176.75</v>
      </c>
      <c r="D105" s="2">
        <v>483.8</v>
      </c>
      <c r="E105" s="2">
        <v>902.8</v>
      </c>
      <c r="F105" s="2">
        <v>103.4</v>
      </c>
    </row>
    <row r="106" spans="1:6" x14ac:dyDescent="0.25">
      <c r="A106" s="1">
        <v>45929</v>
      </c>
      <c r="B106" s="2">
        <v>70.180000000000007</v>
      </c>
      <c r="C106" s="2">
        <v>174.05</v>
      </c>
      <c r="D106" s="2">
        <v>474.8</v>
      </c>
      <c r="E106" s="2">
        <v>900</v>
      </c>
      <c r="F106" s="2">
        <v>103.15</v>
      </c>
    </row>
    <row r="107" spans="1:6" x14ac:dyDescent="0.25">
      <c r="A107" s="1">
        <v>45930</v>
      </c>
      <c r="B107" s="2">
        <v>70.48</v>
      </c>
      <c r="C107" s="2">
        <v>174.7</v>
      </c>
      <c r="D107" s="2">
        <v>472.8</v>
      </c>
      <c r="E107" s="2">
        <v>900</v>
      </c>
      <c r="F107" s="2">
        <v>102.6</v>
      </c>
    </row>
    <row r="108" spans="1:6" x14ac:dyDescent="0.25">
      <c r="A108" s="1">
        <v>45931</v>
      </c>
      <c r="B108" s="2">
        <v>71.180000000000007</v>
      </c>
      <c r="C108" s="2">
        <v>176.45</v>
      </c>
      <c r="D108" s="2">
        <v>487.8</v>
      </c>
      <c r="E108" s="2">
        <v>909.2</v>
      </c>
      <c r="F108" s="2">
        <v>103.25</v>
      </c>
    </row>
    <row r="109" spans="1:6" x14ac:dyDescent="0.25">
      <c r="A109" s="1">
        <v>45932</v>
      </c>
      <c r="B109" s="2">
        <v>73.8</v>
      </c>
      <c r="C109" s="2">
        <v>181.2</v>
      </c>
      <c r="D109" s="2">
        <v>491</v>
      </c>
      <c r="E109" s="2">
        <v>929.8</v>
      </c>
      <c r="F109" s="2">
        <v>105.7</v>
      </c>
    </row>
    <row r="110" spans="1:6" x14ac:dyDescent="0.25">
      <c r="A110" s="1">
        <v>45933</v>
      </c>
      <c r="B110" s="2">
        <v>73.680000000000007</v>
      </c>
      <c r="C110" s="2">
        <v>181.2</v>
      </c>
      <c r="D110" s="2">
        <v>491.6</v>
      </c>
      <c r="E110" s="2">
        <v>930</v>
      </c>
      <c r="F110" s="2">
        <v>105.8</v>
      </c>
    </row>
    <row r="111" spans="1:6" x14ac:dyDescent="0.25">
      <c r="A111" s="1">
        <v>45936</v>
      </c>
      <c r="B111" s="2">
        <v>73.28</v>
      </c>
      <c r="C111" s="2">
        <v>179.15</v>
      </c>
      <c r="D111" s="2">
        <v>482.5</v>
      </c>
      <c r="E111" s="2">
        <v>911</v>
      </c>
      <c r="F111" s="2">
        <v>102.3</v>
      </c>
    </row>
    <row r="112" spans="1:6" x14ac:dyDescent="0.25">
      <c r="A112" s="1">
        <v>45937</v>
      </c>
      <c r="B112" s="2">
        <v>73.56</v>
      </c>
      <c r="C112" s="2">
        <v>183.55</v>
      </c>
      <c r="D112" s="2">
        <v>486.6</v>
      </c>
      <c r="E112" s="2">
        <v>929</v>
      </c>
      <c r="F112" s="2">
        <v>104</v>
      </c>
    </row>
    <row r="113" spans="1:6" x14ac:dyDescent="0.25">
      <c r="A113" s="1">
        <v>45938</v>
      </c>
      <c r="B113" s="2">
        <v>73.62</v>
      </c>
      <c r="C113" s="2">
        <v>184.8</v>
      </c>
      <c r="D113" s="2">
        <v>486.7</v>
      </c>
      <c r="E113" s="2">
        <v>919</v>
      </c>
      <c r="F113" s="2">
        <v>103.2</v>
      </c>
    </row>
    <row r="114" spans="1:6" x14ac:dyDescent="0.25">
      <c r="A114" s="1">
        <v>45939</v>
      </c>
      <c r="B114" s="2">
        <v>73.180000000000007</v>
      </c>
      <c r="C114" s="2">
        <v>184</v>
      </c>
      <c r="D114" s="2">
        <v>486.1</v>
      </c>
      <c r="E114" s="2">
        <v>938</v>
      </c>
      <c r="F114" s="2">
        <v>103.5</v>
      </c>
    </row>
    <row r="115" spans="1:6" x14ac:dyDescent="0.25">
      <c r="A115" s="1">
        <v>45940</v>
      </c>
      <c r="B115" s="2">
        <v>74</v>
      </c>
      <c r="C115" s="2">
        <v>184.5</v>
      </c>
      <c r="D115" s="2">
        <v>489.8</v>
      </c>
      <c r="E115" s="2">
        <v>934.8</v>
      </c>
      <c r="F115" s="2">
        <v>104.45</v>
      </c>
    </row>
    <row r="116" spans="1:6" x14ac:dyDescent="0.25">
      <c r="A116" s="1">
        <v>45943</v>
      </c>
      <c r="B116" s="2">
        <v>74.44</v>
      </c>
      <c r="C116" s="2">
        <v>184.75</v>
      </c>
      <c r="D116" s="2">
        <v>481.6</v>
      </c>
      <c r="E116" s="2">
        <v>925</v>
      </c>
      <c r="F116" s="2">
        <v>103.2</v>
      </c>
    </row>
    <row r="117" spans="1:6" x14ac:dyDescent="0.25">
      <c r="A117" s="1">
        <v>45944</v>
      </c>
      <c r="B117" s="2">
        <v>73.819999999999993</v>
      </c>
      <c r="C117" s="2">
        <v>183.5</v>
      </c>
      <c r="D117" s="2">
        <v>482</v>
      </c>
      <c r="E117" s="2">
        <v>916.4</v>
      </c>
      <c r="F117" s="2">
        <v>103.6</v>
      </c>
    </row>
    <row r="118" spans="1:6" x14ac:dyDescent="0.25">
      <c r="A118" s="1">
        <v>45945</v>
      </c>
      <c r="B118" s="2">
        <v>76</v>
      </c>
      <c r="C118" s="2">
        <v>186.95</v>
      </c>
      <c r="D118" s="2">
        <v>495.1</v>
      </c>
      <c r="E118" s="2">
        <v>939.2</v>
      </c>
      <c r="F118" s="2">
        <v>106.2</v>
      </c>
    </row>
    <row r="119" spans="1:6" x14ac:dyDescent="0.25">
      <c r="A119" s="1">
        <v>45946</v>
      </c>
      <c r="B119" s="2">
        <v>75.400000000000006</v>
      </c>
      <c r="C119" s="2">
        <v>186.65</v>
      </c>
      <c r="D119" s="2">
        <v>482.2</v>
      </c>
      <c r="E119" s="2">
        <v>929.2</v>
      </c>
      <c r="F119" s="2">
        <v>104.7</v>
      </c>
    </row>
    <row r="120" spans="1:6" x14ac:dyDescent="0.25">
      <c r="A120" s="1">
        <v>45947</v>
      </c>
      <c r="B120" s="2">
        <v>74.459999999999994</v>
      </c>
      <c r="C120" s="2">
        <v>184.9</v>
      </c>
      <c r="D120" s="2">
        <v>482</v>
      </c>
      <c r="E120" s="2">
        <v>913.6</v>
      </c>
      <c r="F120" s="2">
        <v>103.4</v>
      </c>
    </row>
    <row r="121" spans="1:6" x14ac:dyDescent="0.25">
      <c r="A121" s="1">
        <v>45950</v>
      </c>
      <c r="B121" s="2">
        <v>75.62</v>
      </c>
      <c r="C121" s="2">
        <v>186.6</v>
      </c>
      <c r="D121" s="2">
        <v>491.2</v>
      </c>
      <c r="E121" s="2">
        <v>947.2</v>
      </c>
      <c r="F121" s="2">
        <v>104.3</v>
      </c>
    </row>
    <row r="122" spans="1:6" x14ac:dyDescent="0.25">
      <c r="A122" s="1">
        <v>45951</v>
      </c>
      <c r="B122" s="2">
        <v>75.52</v>
      </c>
      <c r="C122" s="2">
        <v>187.45</v>
      </c>
      <c r="D122" s="2">
        <v>497.8</v>
      </c>
      <c r="E122" s="2">
        <v>951.6</v>
      </c>
      <c r="F122" s="2">
        <v>106.2</v>
      </c>
    </row>
    <row r="123" spans="1:6" x14ac:dyDescent="0.25">
      <c r="A123" s="1">
        <v>45952</v>
      </c>
      <c r="B123" s="2">
        <v>76.540000000000006</v>
      </c>
      <c r="C123" s="2">
        <v>191.3</v>
      </c>
      <c r="D123" s="2">
        <v>507</v>
      </c>
      <c r="E123" s="2">
        <v>970</v>
      </c>
      <c r="F123" s="2">
        <v>108.6</v>
      </c>
    </row>
    <row r="124" spans="1:6" x14ac:dyDescent="0.25">
      <c r="A124" s="1">
        <v>45953</v>
      </c>
      <c r="B124" s="2">
        <v>77.36</v>
      </c>
      <c r="C124" s="2">
        <v>192.3</v>
      </c>
      <c r="D124" s="2">
        <v>507.6</v>
      </c>
      <c r="E124" s="2">
        <v>978.6</v>
      </c>
      <c r="F124" s="2">
        <v>108.05</v>
      </c>
    </row>
    <row r="125" spans="1:6" x14ac:dyDescent="0.25">
      <c r="A125" s="1">
        <v>45954</v>
      </c>
      <c r="B125" s="2">
        <v>77.06</v>
      </c>
      <c r="C125" s="2">
        <v>191.2</v>
      </c>
      <c r="D125" s="2">
        <v>505.2</v>
      </c>
      <c r="E125" s="2">
        <v>982.8</v>
      </c>
      <c r="F125" s="2">
        <v>106.75</v>
      </c>
    </row>
    <row r="126" spans="1:6" x14ac:dyDescent="0.25">
      <c r="A126" s="1">
        <v>45957</v>
      </c>
      <c r="B126" s="2">
        <v>76.64</v>
      </c>
      <c r="C126" s="2">
        <v>191.3</v>
      </c>
      <c r="D126" s="2">
        <v>503.6</v>
      </c>
      <c r="E126" s="2">
        <v>995.6</v>
      </c>
      <c r="F126" s="2">
        <v>107.7</v>
      </c>
    </row>
    <row r="127" spans="1:6" x14ac:dyDescent="0.25">
      <c r="A127" s="1">
        <v>45958</v>
      </c>
      <c r="B127" s="2">
        <v>78.260000000000005</v>
      </c>
      <c r="C127" s="2">
        <v>196.85</v>
      </c>
      <c r="D127" s="2">
        <v>512.6</v>
      </c>
      <c r="E127" s="2">
        <v>1045</v>
      </c>
      <c r="F127" s="2">
        <v>109.4</v>
      </c>
    </row>
    <row r="128" spans="1:6" x14ac:dyDescent="0.25">
      <c r="A128" s="1">
        <v>45959</v>
      </c>
      <c r="B128" s="2">
        <v>77.8</v>
      </c>
      <c r="C128" s="2">
        <v>197.25</v>
      </c>
      <c r="D128" s="2">
        <v>503.2</v>
      </c>
      <c r="E128" s="2">
        <v>1044</v>
      </c>
      <c r="F128" s="2">
        <v>110</v>
      </c>
    </row>
    <row r="129" spans="1:6" x14ac:dyDescent="0.25">
      <c r="A129" s="1">
        <v>45960</v>
      </c>
      <c r="B129" s="2">
        <v>77.06</v>
      </c>
      <c r="C129" s="2">
        <v>193.8</v>
      </c>
      <c r="D129" s="2">
        <v>503</v>
      </c>
      <c r="E129" s="2">
        <v>1017.5</v>
      </c>
      <c r="F129" s="2">
        <v>106</v>
      </c>
    </row>
    <row r="130" spans="1:6" x14ac:dyDescent="0.25">
      <c r="A130" s="1">
        <v>45961</v>
      </c>
      <c r="B130" s="2">
        <v>75.7</v>
      </c>
      <c r="C130" s="2">
        <v>189.45</v>
      </c>
      <c r="D130" s="2">
        <v>487.2</v>
      </c>
      <c r="E130" s="2">
        <v>981.2</v>
      </c>
      <c r="F130" s="2">
        <v>102.85</v>
      </c>
    </row>
    <row r="131" spans="1:6" x14ac:dyDescent="0.25">
      <c r="A131" s="1">
        <v>45964</v>
      </c>
      <c r="B131" s="2">
        <v>76.78</v>
      </c>
      <c r="C131" s="2">
        <v>191.1</v>
      </c>
      <c r="D131" s="2">
        <v>496.5</v>
      </c>
      <c r="E131" s="2">
        <v>1014.5</v>
      </c>
      <c r="F131" s="2">
        <v>104.55</v>
      </c>
    </row>
    <row r="132" spans="1:6" x14ac:dyDescent="0.25">
      <c r="A132" s="1">
        <v>45965</v>
      </c>
      <c r="B132" s="2">
        <v>76.42</v>
      </c>
      <c r="C132" s="2">
        <v>191.5</v>
      </c>
      <c r="D132" s="2">
        <v>497.2</v>
      </c>
      <c r="E132" s="2">
        <v>1008.5</v>
      </c>
      <c r="F132" s="2">
        <v>103.9</v>
      </c>
    </row>
    <row r="133" spans="1:6" x14ac:dyDescent="0.25">
      <c r="A133" s="1">
        <v>45966</v>
      </c>
      <c r="B133" s="2">
        <v>75.48</v>
      </c>
      <c r="C133" s="2">
        <v>190.65</v>
      </c>
      <c r="D133" s="2">
        <v>491.1</v>
      </c>
      <c r="E133" s="2">
        <v>994</v>
      </c>
      <c r="F133" s="2">
        <v>102.5</v>
      </c>
    </row>
    <row r="134" spans="1:6" x14ac:dyDescent="0.25">
      <c r="A134" s="1">
        <v>45967</v>
      </c>
      <c r="B134" s="2">
        <v>76.819999999999993</v>
      </c>
      <c r="C134" s="2">
        <v>193.8</v>
      </c>
      <c r="D134" s="2">
        <v>503.2</v>
      </c>
      <c r="E134" s="2">
        <v>1000</v>
      </c>
      <c r="F134" s="2">
        <v>102.95</v>
      </c>
    </row>
    <row r="135" spans="1:6" x14ac:dyDescent="0.25">
      <c r="A135" s="1">
        <v>45968</v>
      </c>
      <c r="B135" s="2">
        <v>75.3</v>
      </c>
      <c r="C135" s="2">
        <v>192.9</v>
      </c>
      <c r="D135" s="2">
        <v>504.6</v>
      </c>
      <c r="E135" s="2">
        <v>1024.5</v>
      </c>
      <c r="F135" s="2">
        <v>104</v>
      </c>
    </row>
    <row r="136" spans="1:6" x14ac:dyDescent="0.25">
      <c r="A136" s="1">
        <v>45971</v>
      </c>
      <c r="B136" s="2">
        <v>76.94</v>
      </c>
      <c r="C136" s="2">
        <v>194.1</v>
      </c>
      <c r="D136" s="2">
        <v>495.4</v>
      </c>
      <c r="E136" s="2">
        <v>1050</v>
      </c>
      <c r="F136" s="2">
        <v>103.5</v>
      </c>
    </row>
    <row r="137" spans="1:6" x14ac:dyDescent="0.25">
      <c r="A137" s="1">
        <v>45973</v>
      </c>
      <c r="B137" s="2">
        <v>77.5</v>
      </c>
      <c r="C137" s="2">
        <v>194.55</v>
      </c>
      <c r="D137" s="2">
        <v>508.2</v>
      </c>
      <c r="E137" s="2">
        <v>1049.5</v>
      </c>
      <c r="F137" s="2">
        <v>103.45</v>
      </c>
    </row>
    <row r="138" spans="1:6" x14ac:dyDescent="0.25">
      <c r="A138" s="1">
        <v>45974</v>
      </c>
      <c r="B138" s="2">
        <v>76.5</v>
      </c>
      <c r="C138" s="2">
        <v>194.25</v>
      </c>
      <c r="D138" s="2">
        <v>501.2</v>
      </c>
      <c r="E138" s="2">
        <v>1061.5</v>
      </c>
      <c r="F138" s="2">
        <v>103.5</v>
      </c>
    </row>
    <row r="139" spans="1:6" x14ac:dyDescent="0.25">
      <c r="A139" s="1">
        <v>45975</v>
      </c>
      <c r="B139" s="2">
        <v>75.400000000000006</v>
      </c>
      <c r="C139" s="2">
        <v>190.95</v>
      </c>
      <c r="D139" s="2">
        <v>495.1</v>
      </c>
      <c r="E139" s="2">
        <v>1056.5</v>
      </c>
      <c r="F139" s="2">
        <v>102.4</v>
      </c>
    </row>
    <row r="140" spans="1:6" x14ac:dyDescent="0.25">
      <c r="A140" s="1">
        <v>45978</v>
      </c>
      <c r="B140" s="2">
        <v>74.78</v>
      </c>
      <c r="C140" s="2">
        <v>190.5</v>
      </c>
      <c r="D140" s="2">
        <v>491.8</v>
      </c>
      <c r="E140" s="2">
        <v>1046.5</v>
      </c>
      <c r="F140" s="2">
        <v>101</v>
      </c>
    </row>
    <row r="141" spans="1:6" x14ac:dyDescent="0.25">
      <c r="A141" s="1">
        <v>45979</v>
      </c>
      <c r="B141" s="2">
        <v>73.56</v>
      </c>
      <c r="C141" s="2">
        <v>187.65</v>
      </c>
      <c r="D141" s="2">
        <v>483.9</v>
      </c>
      <c r="E141" s="2">
        <v>1026.5</v>
      </c>
      <c r="F141" s="2">
        <v>99.56</v>
      </c>
    </row>
    <row r="142" spans="1:6" x14ac:dyDescent="0.25">
      <c r="A142" s="1">
        <v>45980</v>
      </c>
      <c r="B142" s="2">
        <v>75.400000000000006</v>
      </c>
      <c r="C142" s="2">
        <v>193.7</v>
      </c>
      <c r="D142" s="2">
        <v>498</v>
      </c>
      <c r="E142" s="2">
        <v>1040.5</v>
      </c>
      <c r="F142" s="2">
        <v>102.8</v>
      </c>
    </row>
    <row r="143" spans="1:6" x14ac:dyDescent="0.25">
      <c r="A143" s="1">
        <v>45981</v>
      </c>
      <c r="B143" s="2">
        <v>75.319999999999993</v>
      </c>
      <c r="C143" s="2">
        <v>193.3</v>
      </c>
      <c r="D143" s="2">
        <v>498.3</v>
      </c>
      <c r="E143" s="2">
        <v>1031.5</v>
      </c>
      <c r="F143" s="2">
        <v>102.1</v>
      </c>
    </row>
    <row r="144" spans="1:6" x14ac:dyDescent="0.25">
      <c r="A144" s="1">
        <v>45982</v>
      </c>
      <c r="B144" s="2">
        <v>73.760000000000005</v>
      </c>
      <c r="C144" s="2">
        <v>191.75</v>
      </c>
      <c r="D144" s="2">
        <v>490.7</v>
      </c>
      <c r="E144" s="2">
        <v>1018</v>
      </c>
      <c r="F144" s="2">
        <v>100</v>
      </c>
    </row>
    <row r="145" spans="1:6" x14ac:dyDescent="0.25">
      <c r="A145" s="1">
        <v>45985</v>
      </c>
      <c r="B145" s="2">
        <v>74.28</v>
      </c>
      <c r="C145" s="2">
        <v>191.75</v>
      </c>
      <c r="D145" s="2">
        <v>492</v>
      </c>
      <c r="E145" s="2">
        <v>1029</v>
      </c>
      <c r="F145" s="2">
        <v>100.55</v>
      </c>
    </row>
    <row r="146" spans="1:6" x14ac:dyDescent="0.25">
      <c r="A146" s="1">
        <v>45986</v>
      </c>
      <c r="B146" s="2">
        <v>76.86</v>
      </c>
      <c r="C146" s="2">
        <v>199.2</v>
      </c>
      <c r="D146" s="2">
        <v>510.2</v>
      </c>
      <c r="E146" s="2">
        <v>1008</v>
      </c>
      <c r="F146" s="2">
        <v>103.2</v>
      </c>
    </row>
    <row r="147" spans="1:6" x14ac:dyDescent="0.25">
      <c r="A147" s="1">
        <v>45987</v>
      </c>
      <c r="B147" s="2">
        <v>77.8</v>
      </c>
      <c r="C147" s="2">
        <v>200.9</v>
      </c>
      <c r="D147" s="2">
        <v>516</v>
      </c>
      <c r="E147" s="2">
        <v>1043</v>
      </c>
      <c r="F147" s="2">
        <v>104.3</v>
      </c>
    </row>
    <row r="148" spans="1:6" x14ac:dyDescent="0.25">
      <c r="A148" s="1">
        <v>45988</v>
      </c>
      <c r="B148" s="2">
        <v>77.88</v>
      </c>
      <c r="C148" s="2">
        <v>200.9</v>
      </c>
      <c r="D148" s="2">
        <v>518</v>
      </c>
      <c r="E148" s="2">
        <v>1034</v>
      </c>
      <c r="F148" s="2">
        <v>103.95</v>
      </c>
    </row>
    <row r="149" spans="1:6" x14ac:dyDescent="0.25">
      <c r="A149" s="1">
        <v>45989</v>
      </c>
      <c r="B149" s="2">
        <v>77.400000000000006</v>
      </c>
      <c r="C149" s="2">
        <v>199.95</v>
      </c>
      <c r="D149" s="2">
        <v>515</v>
      </c>
      <c r="E149" s="2">
        <v>1026</v>
      </c>
      <c r="F149" s="2">
        <v>103.45</v>
      </c>
    </row>
    <row r="150" spans="1:6" x14ac:dyDescent="0.25">
      <c r="A150" s="1">
        <v>45992</v>
      </c>
      <c r="B150" s="2">
        <v>78.040000000000006</v>
      </c>
      <c r="C150" s="2">
        <v>199.45</v>
      </c>
      <c r="D150" s="2">
        <v>511.6</v>
      </c>
      <c r="E150" s="2">
        <v>1020</v>
      </c>
      <c r="F150" s="2">
        <v>104.9</v>
      </c>
    </row>
    <row r="151" spans="1:6" x14ac:dyDescent="0.25">
      <c r="A151" s="1">
        <v>45993</v>
      </c>
      <c r="B151" s="2">
        <v>76.900000000000006</v>
      </c>
      <c r="C151" s="2">
        <v>196.85</v>
      </c>
      <c r="D151" s="2">
        <v>481.7</v>
      </c>
      <c r="E151" s="2">
        <v>1012</v>
      </c>
      <c r="F151" s="2">
        <v>102.2</v>
      </c>
    </row>
    <row r="152" spans="1:6" x14ac:dyDescent="0.25">
      <c r="A152" s="1">
        <v>45994</v>
      </c>
      <c r="B152" s="2">
        <v>77.5</v>
      </c>
      <c r="C152" s="2">
        <v>196.8</v>
      </c>
      <c r="D152" s="2">
        <v>482</v>
      </c>
      <c r="E152" s="2">
        <v>1000</v>
      </c>
      <c r="F152" s="2">
        <v>101.65</v>
      </c>
    </row>
    <row r="153" spans="1:6" x14ac:dyDescent="0.25">
      <c r="A153" s="1">
        <v>45995</v>
      </c>
      <c r="B153" s="2">
        <v>77.66</v>
      </c>
      <c r="C153" s="2">
        <v>198</v>
      </c>
      <c r="D153" s="2">
        <v>482</v>
      </c>
      <c r="E153" s="2">
        <v>1007</v>
      </c>
      <c r="F153" s="2">
        <v>102</v>
      </c>
    </row>
    <row r="154" spans="1:6" x14ac:dyDescent="0.25">
      <c r="A154" s="1">
        <v>45996</v>
      </c>
      <c r="B154" s="2">
        <v>77.319999999999993</v>
      </c>
      <c r="C154" s="2">
        <v>195.8</v>
      </c>
      <c r="D154" s="2">
        <v>479</v>
      </c>
      <c r="E154" s="2">
        <v>1002.5</v>
      </c>
      <c r="F154" s="2">
        <v>102.2</v>
      </c>
    </row>
    <row r="155" spans="1:6" x14ac:dyDescent="0.25">
      <c r="A155" s="1">
        <v>45999</v>
      </c>
      <c r="B155" s="2">
        <v>77.86</v>
      </c>
      <c r="C155" s="2">
        <v>198.25</v>
      </c>
      <c r="D155" s="2">
        <v>483.9</v>
      </c>
      <c r="E155" s="2">
        <v>1001</v>
      </c>
      <c r="F155" s="2">
        <v>103</v>
      </c>
    </row>
    <row r="156" spans="1:6" x14ac:dyDescent="0.25">
      <c r="A156" s="1">
        <v>46000</v>
      </c>
      <c r="B156" s="2">
        <v>80</v>
      </c>
      <c r="C156" s="2">
        <v>202.6</v>
      </c>
      <c r="D156" s="2">
        <v>494</v>
      </c>
      <c r="E156" s="2">
        <v>1010</v>
      </c>
      <c r="F156" s="2">
        <v>105.75</v>
      </c>
    </row>
    <row r="157" spans="1:6" x14ac:dyDescent="0.25">
      <c r="A157" s="1">
        <v>46001</v>
      </c>
      <c r="B157" s="2">
        <v>80.5</v>
      </c>
      <c r="C157" s="2">
        <v>203.4</v>
      </c>
      <c r="D157" s="2">
        <v>497.5</v>
      </c>
      <c r="E157" s="2">
        <v>1010</v>
      </c>
      <c r="F157" s="2">
        <v>105.55</v>
      </c>
    </row>
    <row r="158" spans="1:6" x14ac:dyDescent="0.25">
      <c r="A158" s="1">
        <v>46002</v>
      </c>
      <c r="B158" s="2">
        <v>81.38</v>
      </c>
      <c r="C158" s="2">
        <v>207</v>
      </c>
      <c r="D158" s="2">
        <v>511.6</v>
      </c>
      <c r="E158" s="2">
        <v>1014.5</v>
      </c>
      <c r="F158" s="2">
        <v>107.7</v>
      </c>
    </row>
    <row r="159" spans="1:6" x14ac:dyDescent="0.25">
      <c r="A159" s="1">
        <v>46003</v>
      </c>
      <c r="B159" s="2">
        <v>81.2</v>
      </c>
      <c r="C159" s="2">
        <v>206.2</v>
      </c>
      <c r="D159" s="2">
        <v>516</v>
      </c>
      <c r="E159" s="2">
        <v>1015</v>
      </c>
      <c r="F159" s="2">
        <v>108</v>
      </c>
    </row>
    <row r="160" spans="1:6" x14ac:dyDescent="0.25">
      <c r="A160" s="1">
        <v>46006</v>
      </c>
      <c r="B160" s="2">
        <v>83.5</v>
      </c>
      <c r="C160" s="2">
        <v>210.6</v>
      </c>
      <c r="D160" s="2">
        <v>524.79999999999995</v>
      </c>
      <c r="E160" s="2">
        <v>1025</v>
      </c>
      <c r="F160" s="2">
        <v>112</v>
      </c>
    </row>
    <row r="161" spans="1:6" x14ac:dyDescent="0.25">
      <c r="A161" s="1">
        <v>46007</v>
      </c>
      <c r="B161" s="2">
        <v>82.82</v>
      </c>
      <c r="C161" s="2">
        <v>208.6</v>
      </c>
      <c r="D161" s="2">
        <v>522.79999999999995</v>
      </c>
      <c r="E161" s="2">
        <v>1020</v>
      </c>
      <c r="F161" s="2">
        <v>109.9</v>
      </c>
    </row>
    <row r="162" spans="1:6" x14ac:dyDescent="0.25">
      <c r="A162" s="1">
        <v>46008</v>
      </c>
      <c r="B162" s="2">
        <v>82.54</v>
      </c>
      <c r="C162" s="2">
        <v>203.8</v>
      </c>
      <c r="D162" s="2">
        <v>523.79999999999995</v>
      </c>
      <c r="E162" s="2">
        <v>1011.5</v>
      </c>
      <c r="F162" s="2">
        <v>108.6</v>
      </c>
    </row>
    <row r="163" spans="1:6" x14ac:dyDescent="0.25">
      <c r="A163" s="1">
        <v>46009</v>
      </c>
      <c r="B163" s="2">
        <v>83.74</v>
      </c>
      <c r="C163" s="2">
        <v>205</v>
      </c>
      <c r="D163" s="2">
        <v>520.4</v>
      </c>
      <c r="E163" s="2">
        <v>1023.5</v>
      </c>
      <c r="F163" s="2">
        <v>108.55</v>
      </c>
    </row>
    <row r="164" spans="1:6" x14ac:dyDescent="0.25">
      <c r="A164" s="1">
        <v>46010</v>
      </c>
      <c r="B164" s="2">
        <v>84.14</v>
      </c>
      <c r="C164" s="2">
        <v>208.1</v>
      </c>
      <c r="D164" s="2">
        <v>538.79999999999995</v>
      </c>
      <c r="E164" s="2">
        <v>1056.5</v>
      </c>
      <c r="F164" s="2">
        <v>112</v>
      </c>
    </row>
    <row r="165" spans="1:6" x14ac:dyDescent="0.25">
      <c r="A165" s="1">
        <v>46013</v>
      </c>
      <c r="B165" s="2">
        <v>84.82</v>
      </c>
      <c r="C165" s="2">
        <v>205.5</v>
      </c>
      <c r="D165" s="2">
        <v>544</v>
      </c>
      <c r="E165" s="2">
        <v>1058</v>
      </c>
      <c r="F165" s="2">
        <v>111.8</v>
      </c>
    </row>
    <row r="166" spans="1:6" x14ac:dyDescent="0.25">
      <c r="A166" s="1">
        <v>46014</v>
      </c>
      <c r="B166" s="2">
        <v>84.44</v>
      </c>
      <c r="C166" s="2">
        <v>204.6</v>
      </c>
      <c r="D166" s="2">
        <v>542.4</v>
      </c>
      <c r="E166" s="2">
        <v>1060</v>
      </c>
      <c r="F166" s="2">
        <v>111.05</v>
      </c>
    </row>
    <row r="167" spans="1:6" x14ac:dyDescent="0.25">
      <c r="A167" s="1">
        <v>46020</v>
      </c>
      <c r="B167" s="2">
        <v>84.62</v>
      </c>
      <c r="C167" s="2">
        <v>203.6</v>
      </c>
      <c r="D167" s="2">
        <v>543.79999999999995</v>
      </c>
      <c r="E167" s="2">
        <v>1053.5</v>
      </c>
      <c r="F167" s="2">
        <v>110.35</v>
      </c>
    </row>
    <row r="168" spans="1:6" x14ac:dyDescent="0.25">
      <c r="A168" s="1">
        <v>46021</v>
      </c>
      <c r="B168" s="2">
        <v>85.16</v>
      </c>
      <c r="C168" s="2">
        <v>205.1</v>
      </c>
      <c r="D168" s="2">
        <v>545.4</v>
      </c>
      <c r="E168" s="2">
        <v>1061.5</v>
      </c>
      <c r="F168" s="2">
        <v>110.45</v>
      </c>
    </row>
    <row r="169" spans="1:6" x14ac:dyDescent="0.25">
      <c r="A169" s="1">
        <v>46024</v>
      </c>
      <c r="B169" s="2">
        <v>87.96</v>
      </c>
      <c r="C169" s="2">
        <v>211.2</v>
      </c>
      <c r="D169" s="2">
        <v>560.20000000000005</v>
      </c>
      <c r="E169" s="2">
        <v>1099</v>
      </c>
      <c r="F169" s="2">
        <v>114.1</v>
      </c>
    </row>
    <row r="170" spans="1:6" x14ac:dyDescent="0.25">
      <c r="A170" s="1">
        <v>46027</v>
      </c>
      <c r="B170" s="2">
        <v>87.46</v>
      </c>
      <c r="C170" s="2">
        <v>211.2</v>
      </c>
      <c r="D170" s="2">
        <v>556.20000000000005</v>
      </c>
      <c r="E170" s="2">
        <v>1066</v>
      </c>
      <c r="F170" s="2">
        <v>114.5</v>
      </c>
    </row>
    <row r="171" spans="1:6" x14ac:dyDescent="0.25">
      <c r="A171" s="1">
        <v>46029</v>
      </c>
      <c r="B171" s="2">
        <v>86.66</v>
      </c>
      <c r="C171" s="2">
        <v>213</v>
      </c>
      <c r="D171" s="2">
        <v>569.20000000000005</v>
      </c>
      <c r="E171" s="2">
        <v>1100</v>
      </c>
      <c r="F171" s="2">
        <v>115.3</v>
      </c>
    </row>
    <row r="172" spans="1:6" x14ac:dyDescent="0.25">
      <c r="A172" s="1">
        <v>46030</v>
      </c>
      <c r="B172" s="2">
        <v>86.4</v>
      </c>
      <c r="C172" s="2">
        <v>210.9</v>
      </c>
      <c r="D172" s="2">
        <v>567.20000000000005</v>
      </c>
      <c r="E172" s="2">
        <v>1056</v>
      </c>
      <c r="F172" s="2">
        <v>113.8</v>
      </c>
    </row>
    <row r="173" spans="1:6" x14ac:dyDescent="0.25">
      <c r="A173" s="1">
        <v>46031</v>
      </c>
      <c r="B173" s="2">
        <v>87.38</v>
      </c>
      <c r="C173" s="2">
        <v>210.7</v>
      </c>
      <c r="D173" s="2">
        <v>556.20000000000005</v>
      </c>
      <c r="E173" s="2">
        <v>1048.5</v>
      </c>
      <c r="F173" s="2">
        <v>113.1</v>
      </c>
    </row>
    <row r="174" spans="1:6" x14ac:dyDescent="0.25">
      <c r="A174" s="1">
        <v>46034</v>
      </c>
      <c r="B174" s="2">
        <v>88.74</v>
      </c>
      <c r="C174" s="2">
        <v>212</v>
      </c>
      <c r="D174" s="2">
        <v>559.6</v>
      </c>
      <c r="E174" s="2">
        <v>1059</v>
      </c>
      <c r="F174" s="2">
        <v>113.85</v>
      </c>
    </row>
    <row r="175" spans="1:6" x14ac:dyDescent="0.25">
      <c r="A175" s="1">
        <v>46035</v>
      </c>
      <c r="B175" s="2">
        <v>87</v>
      </c>
      <c r="C175" s="2">
        <v>211</v>
      </c>
      <c r="D175" s="2">
        <v>550.4</v>
      </c>
      <c r="E175" s="2">
        <v>1044.5</v>
      </c>
      <c r="F175" s="2">
        <v>113.55</v>
      </c>
    </row>
    <row r="176" spans="1:6" x14ac:dyDescent="0.25">
      <c r="A176" s="1">
        <v>46036</v>
      </c>
      <c r="B176" s="2">
        <v>86.86</v>
      </c>
      <c r="C176" s="2">
        <v>209.1</v>
      </c>
      <c r="D176" s="2">
        <v>542.79999999999995</v>
      </c>
      <c r="E176" s="2">
        <v>1019.5</v>
      </c>
      <c r="F176" s="2">
        <v>111.15</v>
      </c>
    </row>
    <row r="177" spans="1:6" x14ac:dyDescent="0.25">
      <c r="A177" s="1">
        <v>46037</v>
      </c>
      <c r="B177" s="2">
        <v>87.28</v>
      </c>
      <c r="C177" s="2">
        <v>208.6</v>
      </c>
      <c r="D177" s="2">
        <v>542</v>
      </c>
      <c r="E177" s="2">
        <v>1015</v>
      </c>
      <c r="F177" s="2">
        <v>112.65</v>
      </c>
    </row>
    <row r="178" spans="1:6" x14ac:dyDescent="0.25">
      <c r="A178" s="1">
        <v>46038</v>
      </c>
      <c r="B178" s="2">
        <v>86.7</v>
      </c>
      <c r="C178" s="2">
        <v>208.3</v>
      </c>
      <c r="D178" s="2">
        <v>541.4</v>
      </c>
      <c r="E178" s="2">
        <v>1013</v>
      </c>
      <c r="F178" s="2">
        <v>111.4</v>
      </c>
    </row>
    <row r="179" spans="1:6" x14ac:dyDescent="0.25">
      <c r="A179" s="1">
        <v>46041</v>
      </c>
      <c r="B179" s="2">
        <v>87</v>
      </c>
      <c r="C179" s="2">
        <v>206.3</v>
      </c>
      <c r="D179" s="2">
        <v>540.79999999999995</v>
      </c>
      <c r="E179" s="2">
        <v>1006.5</v>
      </c>
      <c r="F179" s="2">
        <v>110.9</v>
      </c>
    </row>
    <row r="180" spans="1:6" x14ac:dyDescent="0.25">
      <c r="A180" s="1">
        <v>46042</v>
      </c>
      <c r="B180" s="2">
        <v>87.34</v>
      </c>
      <c r="C180" s="2">
        <v>207.7</v>
      </c>
      <c r="D180" s="2">
        <v>544</v>
      </c>
      <c r="E180" s="2">
        <v>1004.5</v>
      </c>
      <c r="F180" s="2">
        <v>111.7</v>
      </c>
    </row>
    <row r="181" spans="1:6" x14ac:dyDescent="0.25">
      <c r="A181" s="1">
        <v>46043</v>
      </c>
      <c r="B181" s="2">
        <v>87.34</v>
      </c>
      <c r="C181" s="2">
        <v>207.2</v>
      </c>
      <c r="D181" s="2">
        <v>544.20000000000005</v>
      </c>
      <c r="E181" s="2">
        <v>990.2</v>
      </c>
      <c r="F181" s="2">
        <v>112.75</v>
      </c>
    </row>
    <row r="182" spans="1:6" x14ac:dyDescent="0.25">
      <c r="A182" s="1">
        <v>46044</v>
      </c>
      <c r="B182" s="2">
        <v>90.16</v>
      </c>
      <c r="C182" s="2">
        <v>215.5</v>
      </c>
      <c r="D182" s="2">
        <v>560</v>
      </c>
      <c r="E182" s="2">
        <v>1024.5</v>
      </c>
      <c r="F182" s="2">
        <v>114.4</v>
      </c>
    </row>
    <row r="183" spans="1:6" x14ac:dyDescent="0.25">
      <c r="A183" s="1">
        <v>46045</v>
      </c>
      <c r="B183" s="2">
        <v>88.3</v>
      </c>
      <c r="C183" s="2">
        <v>208.5</v>
      </c>
      <c r="D183" s="2">
        <v>546.79999999999995</v>
      </c>
      <c r="E183" s="2">
        <v>1002.5</v>
      </c>
      <c r="F183" s="2">
        <v>113.6</v>
      </c>
    </row>
    <row r="184" spans="1:6" x14ac:dyDescent="0.25">
      <c r="A184" s="1">
        <v>46048</v>
      </c>
      <c r="B184" s="2">
        <v>90.6</v>
      </c>
      <c r="C184" s="2">
        <v>214.5</v>
      </c>
      <c r="D184" s="2">
        <v>558</v>
      </c>
      <c r="E184" s="2">
        <v>1012.5</v>
      </c>
      <c r="F184" s="2">
        <v>115</v>
      </c>
    </row>
    <row r="185" spans="1:6" x14ac:dyDescent="0.25">
      <c r="A185" s="1">
        <v>46049</v>
      </c>
      <c r="B185" s="2">
        <v>92.76</v>
      </c>
      <c r="C185" s="2">
        <v>218.3</v>
      </c>
      <c r="D185" s="2">
        <v>570.20000000000005</v>
      </c>
      <c r="E185" s="2">
        <v>1031.5</v>
      </c>
      <c r="F185" s="2">
        <v>115.9</v>
      </c>
    </row>
    <row r="186" spans="1:6" x14ac:dyDescent="0.25">
      <c r="A186" s="1">
        <v>46050</v>
      </c>
      <c r="B186" s="2">
        <v>92.4</v>
      </c>
      <c r="C186" s="2">
        <v>216.4</v>
      </c>
      <c r="D186" s="2">
        <v>565.20000000000005</v>
      </c>
      <c r="E186" s="2">
        <v>1017</v>
      </c>
      <c r="F186" s="2">
        <v>115.5</v>
      </c>
    </row>
    <row r="187" spans="1:6" x14ac:dyDescent="0.25">
      <c r="A187" s="1">
        <v>46051</v>
      </c>
      <c r="B187" s="2">
        <v>90.82</v>
      </c>
      <c r="C187" s="2">
        <v>212.8</v>
      </c>
      <c r="D187" s="2">
        <v>553.6</v>
      </c>
      <c r="E187" s="2">
        <v>1004</v>
      </c>
      <c r="F187" s="2">
        <v>114.2</v>
      </c>
    </row>
    <row r="188" spans="1:6" x14ac:dyDescent="0.25">
      <c r="A188" s="1">
        <v>46052</v>
      </c>
      <c r="B188" s="2">
        <v>92.58</v>
      </c>
      <c r="C188" s="2">
        <v>216.8</v>
      </c>
      <c r="D188" s="2">
        <v>559.20000000000005</v>
      </c>
      <c r="E188" s="2">
        <v>1038</v>
      </c>
      <c r="F188" s="2">
        <v>116.1</v>
      </c>
    </row>
    <row r="189" spans="1:6" x14ac:dyDescent="0.25">
      <c r="A189" s="1">
        <v>46055</v>
      </c>
      <c r="B189" s="2">
        <v>93.5</v>
      </c>
      <c r="C189" s="2">
        <v>221.4</v>
      </c>
      <c r="D189" s="2">
        <v>574.20000000000005</v>
      </c>
      <c r="E189" s="2">
        <v>1055</v>
      </c>
      <c r="F189" s="2">
        <v>118.1</v>
      </c>
    </row>
    <row r="190" spans="1:6" x14ac:dyDescent="0.25">
      <c r="A190" s="1">
        <v>46056</v>
      </c>
      <c r="B190" s="2">
        <v>96.5</v>
      </c>
      <c r="C190" s="2">
        <v>232</v>
      </c>
      <c r="D190" s="2">
        <v>603.4</v>
      </c>
      <c r="E190" s="2">
        <v>1083</v>
      </c>
      <c r="F190" s="2">
        <v>126.8</v>
      </c>
    </row>
    <row r="191" spans="1:6" x14ac:dyDescent="0.25">
      <c r="A191" s="1">
        <v>46057</v>
      </c>
      <c r="B191" s="2">
        <v>96.1</v>
      </c>
      <c r="C191" s="2">
        <v>233.4</v>
      </c>
      <c r="D191" s="2">
        <v>602.6</v>
      </c>
      <c r="E191" s="2">
        <v>1075</v>
      </c>
      <c r="F191" s="2">
        <v>126.65</v>
      </c>
    </row>
    <row r="192" spans="1:6" x14ac:dyDescent="0.25">
      <c r="A192" s="1">
        <v>46058</v>
      </c>
      <c r="B192" s="2">
        <v>92.94</v>
      </c>
      <c r="C192" s="2">
        <v>228.2</v>
      </c>
      <c r="D192" s="2">
        <v>583.20000000000005</v>
      </c>
      <c r="E192" s="2">
        <v>1053.5</v>
      </c>
      <c r="F192" s="2">
        <v>124.7</v>
      </c>
    </row>
    <row r="193" spans="1:6" x14ac:dyDescent="0.25">
      <c r="A193" s="1">
        <v>46059</v>
      </c>
      <c r="B193" s="2">
        <v>93.16</v>
      </c>
      <c r="C193" s="2">
        <v>230.2</v>
      </c>
      <c r="D193" s="2">
        <v>580</v>
      </c>
      <c r="E193" s="2">
        <v>1064</v>
      </c>
      <c r="F193" s="2">
        <v>123.45</v>
      </c>
    </row>
    <row r="194" spans="1:6" x14ac:dyDescent="0.25">
      <c r="A194" s="1">
        <v>46062</v>
      </c>
      <c r="B194" s="2">
        <v>93.82</v>
      </c>
      <c r="C194" s="2">
        <v>232</v>
      </c>
      <c r="D194" s="2">
        <v>587.79999999999995</v>
      </c>
      <c r="E194" s="2">
        <v>1084.5</v>
      </c>
      <c r="F194" s="2">
        <v>126</v>
      </c>
    </row>
    <row r="195" spans="1:6" x14ac:dyDescent="0.25">
      <c r="A195" s="1">
        <v>46063</v>
      </c>
      <c r="B195" s="2">
        <v>92.56</v>
      </c>
      <c r="C195" s="2">
        <v>231.4</v>
      </c>
      <c r="D195" s="2">
        <v>590</v>
      </c>
      <c r="E195" s="2">
        <v>1070</v>
      </c>
      <c r="F195" s="2">
        <v>125.25</v>
      </c>
    </row>
    <row r="196" spans="1:6" x14ac:dyDescent="0.25">
      <c r="A196" s="1">
        <v>46064</v>
      </c>
      <c r="B196" s="2">
        <v>91.94</v>
      </c>
      <c r="C196" s="2">
        <v>230.3</v>
      </c>
      <c r="D196" s="2">
        <v>593</v>
      </c>
      <c r="E196" s="2">
        <v>1050</v>
      </c>
      <c r="F196" s="2">
        <v>124.3</v>
      </c>
    </row>
    <row r="197" spans="1:6" x14ac:dyDescent="0.25">
      <c r="A197" s="1">
        <v>46065</v>
      </c>
      <c r="B197" s="2">
        <v>92</v>
      </c>
      <c r="C197" s="2">
        <v>229.8</v>
      </c>
      <c r="D197" s="2">
        <v>606</v>
      </c>
      <c r="E197" s="2">
        <v>1062.5</v>
      </c>
      <c r="F197" s="2">
        <v>124.3</v>
      </c>
    </row>
    <row r="198" spans="1:6" x14ac:dyDescent="0.25">
      <c r="A198" s="1">
        <v>46066</v>
      </c>
      <c r="B198" s="2">
        <v>89.34</v>
      </c>
      <c r="C198" s="2">
        <v>222.1</v>
      </c>
      <c r="D198" s="2">
        <v>587</v>
      </c>
      <c r="E198" s="2">
        <v>1012</v>
      </c>
      <c r="F198" s="2">
        <v>119.35</v>
      </c>
    </row>
    <row r="199" spans="1:6" x14ac:dyDescent="0.25">
      <c r="A199" s="1">
        <v>46069</v>
      </c>
      <c r="B199" s="2">
        <v>89.4</v>
      </c>
      <c r="C199" s="2">
        <v>224.2</v>
      </c>
      <c r="D199" s="2">
        <v>598</v>
      </c>
      <c r="E199" s="2">
        <v>1022.5</v>
      </c>
      <c r="F199" s="2">
        <v>119.35</v>
      </c>
    </row>
    <row r="200" spans="1:6" x14ac:dyDescent="0.25">
      <c r="A200" s="1">
        <v>46070</v>
      </c>
      <c r="B200" s="2">
        <v>89.2</v>
      </c>
      <c r="C200" s="2">
        <v>224.3</v>
      </c>
      <c r="D200" s="2">
        <v>600.79999999999995</v>
      </c>
      <c r="E200" s="2">
        <v>1028.5</v>
      </c>
      <c r="F200" s="2">
        <v>119.85</v>
      </c>
    </row>
    <row r="201" spans="1:6" x14ac:dyDescent="0.25">
      <c r="A201" s="1">
        <v>46071</v>
      </c>
      <c r="B201" s="2">
        <v>89.54</v>
      </c>
      <c r="C201" s="2">
        <v>228.1</v>
      </c>
      <c r="D201" s="2">
        <v>610</v>
      </c>
      <c r="E201" s="2">
        <v>1046.5</v>
      </c>
      <c r="F201" s="2">
        <v>121.3</v>
      </c>
    </row>
    <row r="202" spans="1:6" x14ac:dyDescent="0.25">
      <c r="A202" s="1">
        <v>46072</v>
      </c>
      <c r="B202" s="2">
        <v>90.68</v>
      </c>
      <c r="C202" s="2">
        <v>232.2</v>
      </c>
      <c r="D202" s="2">
        <v>601.6</v>
      </c>
      <c r="E202" s="2">
        <v>1044.5</v>
      </c>
      <c r="F202" s="2">
        <v>122.1</v>
      </c>
    </row>
    <row r="203" spans="1:6" x14ac:dyDescent="0.25">
      <c r="A203" s="1">
        <v>46073</v>
      </c>
      <c r="B203" s="2">
        <v>91.4</v>
      </c>
      <c r="C203" s="2">
        <v>232.4</v>
      </c>
      <c r="D203" s="2">
        <v>605.6</v>
      </c>
      <c r="E203" s="2">
        <v>1052</v>
      </c>
      <c r="F203" s="2">
        <v>122.45</v>
      </c>
    </row>
    <row r="204" spans="1:6" x14ac:dyDescent="0.25">
      <c r="A204" s="1">
        <v>46076</v>
      </c>
      <c r="B204" s="2">
        <v>92.9</v>
      </c>
      <c r="C204" s="2">
        <v>233.9</v>
      </c>
      <c r="D204" s="2">
        <v>612.20000000000005</v>
      </c>
      <c r="E204" s="2">
        <v>1064.5</v>
      </c>
      <c r="F204" s="2">
        <v>123.7</v>
      </c>
    </row>
    <row r="205" spans="1:6" x14ac:dyDescent="0.25">
      <c r="A205" s="1">
        <v>46077</v>
      </c>
      <c r="B205" s="2">
        <v>91.58</v>
      </c>
      <c r="C205" s="2">
        <v>229.9</v>
      </c>
      <c r="D205" s="2">
        <v>599.20000000000005</v>
      </c>
      <c r="E205" s="2">
        <v>1041</v>
      </c>
      <c r="F205" s="2">
        <v>121.6</v>
      </c>
    </row>
    <row r="206" spans="1:6" x14ac:dyDescent="0.25">
      <c r="A206" s="1">
        <v>46078</v>
      </c>
      <c r="B206" s="2">
        <v>93.58</v>
      </c>
      <c r="C206" s="2">
        <v>233.4</v>
      </c>
      <c r="D206" s="2">
        <v>605</v>
      </c>
      <c r="E206" s="2">
        <v>1060</v>
      </c>
      <c r="F206" s="2">
        <v>121.75</v>
      </c>
    </row>
    <row r="207" spans="1:6" x14ac:dyDescent="0.25">
      <c r="A207" s="1">
        <v>46079</v>
      </c>
      <c r="B207" s="2">
        <v>93.6</v>
      </c>
      <c r="C207" s="2">
        <v>228.1</v>
      </c>
      <c r="D207" s="2">
        <v>600.20000000000005</v>
      </c>
      <c r="E207" s="2">
        <v>1050</v>
      </c>
      <c r="F207" s="2">
        <v>121.7</v>
      </c>
    </row>
    <row r="208" spans="1:6" x14ac:dyDescent="0.25">
      <c r="A208" s="1">
        <v>46080</v>
      </c>
      <c r="B208" s="2">
        <v>92.46</v>
      </c>
      <c r="C208" s="2">
        <v>226.2</v>
      </c>
      <c r="D208" s="2">
        <v>591.20000000000005</v>
      </c>
      <c r="E208" s="2">
        <v>1033.5</v>
      </c>
      <c r="F208" s="2">
        <v>119.55</v>
      </c>
    </row>
    <row r="209" spans="1:6" x14ac:dyDescent="0.25">
      <c r="A209" s="1">
        <v>46083</v>
      </c>
      <c r="B209" s="2">
        <v>89.06</v>
      </c>
      <c r="C209" s="2">
        <v>220.7</v>
      </c>
      <c r="D209" s="2">
        <v>582.20000000000005</v>
      </c>
      <c r="E209" s="2">
        <v>999.4</v>
      </c>
      <c r="F209" s="2">
        <v>116.2</v>
      </c>
    </row>
    <row r="210" spans="1:6" x14ac:dyDescent="0.25">
      <c r="A210" s="1">
        <v>46084</v>
      </c>
      <c r="B210" s="2">
        <v>85.2</v>
      </c>
      <c r="C210" s="2">
        <v>210.6</v>
      </c>
      <c r="D210" s="2">
        <v>558</v>
      </c>
      <c r="E210" s="2">
        <v>944.4</v>
      </c>
      <c r="F210" s="2">
        <v>109.6</v>
      </c>
    </row>
    <row r="211" spans="1:6" x14ac:dyDescent="0.25">
      <c r="A211" s="1">
        <v>46085</v>
      </c>
      <c r="B211" s="2">
        <v>88.24</v>
      </c>
      <c r="C211" s="2">
        <v>215.8</v>
      </c>
      <c r="D211" s="2">
        <v>563.4</v>
      </c>
      <c r="E211" s="2">
        <v>976.2</v>
      </c>
      <c r="F211" s="2">
        <v>113.85</v>
      </c>
    </row>
    <row r="212" spans="1:6" x14ac:dyDescent="0.25">
      <c r="A212" s="1">
        <v>46086</v>
      </c>
      <c r="B212" s="2">
        <v>88.7</v>
      </c>
      <c r="C212" s="2">
        <v>217.2</v>
      </c>
      <c r="D212" s="2">
        <v>563</v>
      </c>
      <c r="E212" s="2">
        <v>967.8</v>
      </c>
      <c r="F212" s="2">
        <v>114.3</v>
      </c>
    </row>
    <row r="213" spans="1:6" x14ac:dyDescent="0.25">
      <c r="A213" s="1">
        <v>46087</v>
      </c>
      <c r="B213" s="2">
        <v>84.6</v>
      </c>
      <c r="C213" s="2">
        <v>208.7</v>
      </c>
      <c r="D213" s="2">
        <v>548.6</v>
      </c>
      <c r="E213" s="2">
        <v>936.8</v>
      </c>
      <c r="F213" s="2">
        <v>110.3</v>
      </c>
    </row>
    <row r="214" spans="1:6" x14ac:dyDescent="0.25">
      <c r="A214" s="1">
        <v>46090</v>
      </c>
      <c r="B214" s="2">
        <v>85.08</v>
      </c>
      <c r="C214" s="2">
        <v>207.5</v>
      </c>
      <c r="D214" s="2">
        <v>545.20000000000005</v>
      </c>
      <c r="E214" s="2">
        <v>943</v>
      </c>
      <c r="F214" s="2">
        <v>110.2</v>
      </c>
    </row>
    <row r="215" spans="1:6" x14ac:dyDescent="0.25">
      <c r="A215" s="1">
        <v>46091</v>
      </c>
      <c r="B215" s="2">
        <v>87.8</v>
      </c>
      <c r="C215" s="2">
        <v>213.5</v>
      </c>
      <c r="D215" s="2">
        <v>557.6</v>
      </c>
      <c r="E215" s="2">
        <v>974.4</v>
      </c>
      <c r="F215" s="2">
        <v>112.3</v>
      </c>
    </row>
    <row r="216" spans="1:6" x14ac:dyDescent="0.25">
      <c r="A216" s="1">
        <v>46092</v>
      </c>
      <c r="B216" s="2">
        <v>87.6</v>
      </c>
      <c r="C216" s="2">
        <v>212.3</v>
      </c>
      <c r="D216" s="2">
        <v>557.6</v>
      </c>
      <c r="E216" s="2">
        <v>975</v>
      </c>
      <c r="F216" s="2">
        <v>111.3</v>
      </c>
    </row>
    <row r="217" spans="1:6" x14ac:dyDescent="0.25">
      <c r="A217" s="1">
        <v>46093</v>
      </c>
      <c r="B217" s="2">
        <v>86.02</v>
      </c>
      <c r="C217" s="2">
        <v>209.2</v>
      </c>
      <c r="D217" s="2">
        <v>553.4</v>
      </c>
      <c r="E217" s="2">
        <v>970.6</v>
      </c>
      <c r="F217" s="2">
        <v>109.55</v>
      </c>
    </row>
    <row r="218" spans="1:6" x14ac:dyDescent="0.25">
      <c r="A218" s="1">
        <v>46094</v>
      </c>
      <c r="B218" s="2">
        <v>86.52</v>
      </c>
      <c r="C218" s="2">
        <v>209.8</v>
      </c>
      <c r="D218" s="2">
        <v>548.20000000000005</v>
      </c>
      <c r="E218" s="2">
        <v>967.2</v>
      </c>
      <c r="F218" s="2">
        <v>110</v>
      </c>
    </row>
    <row r="219" spans="1:6" x14ac:dyDescent="0.25">
      <c r="A219" s="1">
        <v>46097</v>
      </c>
      <c r="B219" s="2">
        <v>86.68</v>
      </c>
      <c r="C219" s="2">
        <v>211</v>
      </c>
      <c r="D219" s="2">
        <v>548.6</v>
      </c>
      <c r="E219" s="2">
        <v>1026.5</v>
      </c>
      <c r="F219" s="2">
        <v>109.75</v>
      </c>
    </row>
    <row r="220" spans="1:6" x14ac:dyDescent="0.25">
      <c r="A220" s="1">
        <v>46098</v>
      </c>
      <c r="B220" s="2">
        <v>87.8</v>
      </c>
      <c r="C220" s="2">
        <v>218.7</v>
      </c>
      <c r="D220" s="2">
        <v>560</v>
      </c>
      <c r="E220" s="2">
        <v>1053</v>
      </c>
      <c r="F220" s="2">
        <v>113.15</v>
      </c>
    </row>
    <row r="221" spans="1:6" x14ac:dyDescent="0.25">
      <c r="A221" s="1">
        <v>46099</v>
      </c>
      <c r="B221" s="2">
        <v>88.46</v>
      </c>
      <c r="C221" s="2">
        <v>218</v>
      </c>
      <c r="D221" s="2">
        <v>559.6</v>
      </c>
      <c r="E221" s="2">
        <v>1052.5</v>
      </c>
      <c r="F221" s="2">
        <v>112.7</v>
      </c>
    </row>
    <row r="222" spans="1:6" x14ac:dyDescent="0.25">
      <c r="A222" s="1">
        <v>46100</v>
      </c>
      <c r="B222" s="2">
        <v>86.94</v>
      </c>
      <c r="C222" s="2">
        <v>215.5</v>
      </c>
      <c r="D222" s="2">
        <v>555.6</v>
      </c>
      <c r="E222" s="2">
        <v>1053</v>
      </c>
      <c r="F222" s="2">
        <v>109.75</v>
      </c>
    </row>
    <row r="223" spans="1:6" x14ac:dyDescent="0.25">
      <c r="A223" s="1">
        <v>46101</v>
      </c>
      <c r="B223" s="2">
        <v>85.2</v>
      </c>
      <c r="C223" s="2">
        <v>211.3</v>
      </c>
      <c r="D223" s="2">
        <v>555.4</v>
      </c>
      <c r="E223" s="2">
        <v>1041.5</v>
      </c>
      <c r="F223" s="2">
        <v>106.45</v>
      </c>
    </row>
    <row r="224" spans="1:6" x14ac:dyDescent="0.25">
      <c r="A224" s="1">
        <v>46104</v>
      </c>
      <c r="B224" s="2">
        <v>87.46</v>
      </c>
      <c r="C224" s="2">
        <v>213.7</v>
      </c>
      <c r="D224" s="2">
        <v>572.4</v>
      </c>
      <c r="E224" s="2">
        <v>1057</v>
      </c>
      <c r="F224" s="2">
        <v>109.35</v>
      </c>
    </row>
    <row r="225" spans="1:6" x14ac:dyDescent="0.25">
      <c r="A225" s="1">
        <v>46105</v>
      </c>
      <c r="B225" s="2">
        <v>85.68</v>
      </c>
      <c r="C225" s="2">
        <v>210.2</v>
      </c>
      <c r="D225" s="2">
        <v>565</v>
      </c>
      <c r="E225" s="2">
        <v>1048</v>
      </c>
      <c r="F225" s="2">
        <v>107.1</v>
      </c>
    </row>
    <row r="226" spans="1:6" x14ac:dyDescent="0.25">
      <c r="A226" s="1">
        <v>46106</v>
      </c>
      <c r="B226" s="2">
        <v>86.66</v>
      </c>
      <c r="C226" s="2">
        <v>214.5</v>
      </c>
      <c r="D226" s="2">
        <v>573.20000000000005</v>
      </c>
      <c r="E226" s="2">
        <v>1073</v>
      </c>
      <c r="F226" s="2">
        <v>109.35</v>
      </c>
    </row>
    <row r="227" spans="1:6" x14ac:dyDescent="0.25">
      <c r="A227" s="1">
        <v>46107</v>
      </c>
      <c r="B227" s="2">
        <v>86.54</v>
      </c>
      <c r="C227" s="2">
        <v>213</v>
      </c>
      <c r="D227" s="2">
        <v>571</v>
      </c>
      <c r="E227" s="2">
        <v>1073.5</v>
      </c>
      <c r="F227" s="2">
        <v>109.3</v>
      </c>
    </row>
    <row r="228" spans="1:6" x14ac:dyDescent="0.25">
      <c r="A228" s="1">
        <v>46108</v>
      </c>
      <c r="B228" s="2">
        <v>86.2</v>
      </c>
      <c r="C228" s="2">
        <v>214.7</v>
      </c>
      <c r="D228" s="2">
        <v>580.4</v>
      </c>
      <c r="E228" s="2">
        <v>1082</v>
      </c>
      <c r="F228" s="2">
        <v>109.75</v>
      </c>
    </row>
    <row r="229" spans="1:6" x14ac:dyDescent="0.25">
      <c r="A229" s="1">
        <v>46111</v>
      </c>
      <c r="B229" s="2">
        <v>85.5</v>
      </c>
      <c r="C229" s="2">
        <v>212.5</v>
      </c>
      <c r="D229" s="2">
        <v>572.20000000000005</v>
      </c>
      <c r="E229" s="2">
        <v>1066</v>
      </c>
      <c r="F229" s="2">
        <v>109.6</v>
      </c>
    </row>
    <row r="230" spans="1:6" x14ac:dyDescent="0.25">
      <c r="A230" s="1">
        <v>46112</v>
      </c>
      <c r="B230" s="2">
        <v>86.86</v>
      </c>
      <c r="C230" s="2">
        <v>217.5</v>
      </c>
      <c r="D230" s="2">
        <v>583</v>
      </c>
      <c r="E230" s="2">
        <v>1079.5</v>
      </c>
      <c r="F230" s="2">
        <v>110.65</v>
      </c>
    </row>
    <row r="231" spans="1:6" x14ac:dyDescent="0.25">
      <c r="A231" s="1">
        <v>46113</v>
      </c>
      <c r="B231" s="2">
        <v>89.42</v>
      </c>
      <c r="C231" s="2">
        <v>223.6</v>
      </c>
      <c r="D231" s="2">
        <v>600</v>
      </c>
      <c r="E231" s="2">
        <v>1149</v>
      </c>
      <c r="F231" s="2">
        <v>115</v>
      </c>
    </row>
    <row r="232" spans="1:6" x14ac:dyDescent="0.25">
      <c r="A232" s="1">
        <v>46114</v>
      </c>
      <c r="B232" s="2">
        <v>90</v>
      </c>
      <c r="C232" s="2">
        <v>224.8</v>
      </c>
      <c r="D232" s="2">
        <v>601</v>
      </c>
      <c r="E232" s="2">
        <v>1159</v>
      </c>
      <c r="F232" s="2">
        <v>115.25</v>
      </c>
    </row>
    <row r="233" spans="1:6" x14ac:dyDescent="0.25">
      <c r="A233" s="1">
        <v>46119</v>
      </c>
      <c r="B233" s="2">
        <v>90.94</v>
      </c>
      <c r="C233" s="2">
        <v>226</v>
      </c>
      <c r="D233" s="2">
        <v>606</v>
      </c>
      <c r="E233" s="2">
        <v>1148</v>
      </c>
      <c r="F233" s="2">
        <v>115.45</v>
      </c>
    </row>
    <row r="234" spans="1:6" x14ac:dyDescent="0.25">
      <c r="A234" s="1">
        <v>46120</v>
      </c>
      <c r="B234" s="2">
        <v>96</v>
      </c>
      <c r="C234" s="2">
        <v>241</v>
      </c>
      <c r="D234" s="2">
        <v>643.4</v>
      </c>
      <c r="E234" s="2">
        <v>1256</v>
      </c>
      <c r="F234" s="2">
        <v>123.9</v>
      </c>
    </row>
    <row r="235" spans="1:6" x14ac:dyDescent="0.25">
      <c r="A235" s="1">
        <v>46121</v>
      </c>
      <c r="B235" s="2">
        <v>95.61</v>
      </c>
      <c r="C235" s="2">
        <v>240.1</v>
      </c>
      <c r="D235" s="2">
        <v>639.6</v>
      </c>
      <c r="E235" s="2">
        <v>1235</v>
      </c>
      <c r="F235" s="2">
        <v>124.35</v>
      </c>
    </row>
    <row r="236" spans="1:6" x14ac:dyDescent="0.25">
      <c r="A236" s="1">
        <v>46122</v>
      </c>
      <c r="B236" s="2">
        <v>99.25</v>
      </c>
      <c r="C236" s="2">
        <v>247.8</v>
      </c>
      <c r="D236" s="2">
        <v>658.6</v>
      </c>
      <c r="E236" s="2">
        <v>1280.5</v>
      </c>
      <c r="F236" s="2">
        <v>126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C871-508B-412D-A762-6B0CD3A54E6B}">
  <dimension ref="B1:Z240"/>
  <sheetViews>
    <sheetView zoomScale="130" zoomScaleNormal="130" workbookViewId="0">
      <selection activeCell="P1" sqref="P1:P1048576"/>
    </sheetView>
  </sheetViews>
  <sheetFormatPr defaultRowHeight="15" x14ac:dyDescent="0.25"/>
  <cols>
    <col min="2" max="2" width="11" customWidth="1"/>
    <col min="4" max="4" width="12" customWidth="1"/>
    <col min="5" max="5" width="14" customWidth="1"/>
    <col min="7" max="7" width="11.5703125" customWidth="1"/>
    <col min="11" max="11" width="12.28515625" customWidth="1"/>
    <col min="12" max="12" width="13.5703125" customWidth="1"/>
    <col min="14" max="15" width="11.42578125" customWidth="1"/>
    <col min="16" max="16" width="10.7109375" customWidth="1"/>
  </cols>
  <sheetData>
    <row r="1" spans="2:26" ht="15.75" thickBot="1" x14ac:dyDescent="0.3"/>
    <row r="2" spans="2:26" x14ac:dyDescent="0.25">
      <c r="C2" s="4"/>
      <c r="D2" s="55" t="s">
        <v>7</v>
      </c>
      <c r="E2" s="56"/>
      <c r="F2" s="5"/>
      <c r="K2" s="47" t="s">
        <v>8</v>
      </c>
      <c r="L2" s="48"/>
      <c r="M2" s="5"/>
      <c r="P2" s="39" t="s">
        <v>13</v>
      </c>
      <c r="Q2" s="40"/>
      <c r="R2" s="41"/>
      <c r="T2" s="5"/>
      <c r="U2" s="5"/>
      <c r="V2" s="5"/>
      <c r="W2" s="3"/>
      <c r="X2" s="5"/>
      <c r="Y2" s="5"/>
      <c r="Z2" s="5"/>
    </row>
    <row r="3" spans="2:26" ht="15.75" thickBot="1" x14ac:dyDescent="0.3">
      <c r="C3" s="4"/>
      <c r="D3" s="57"/>
      <c r="E3" s="58"/>
      <c r="F3" s="5"/>
      <c r="K3" s="49"/>
      <c r="L3" s="50"/>
      <c r="M3" s="5"/>
      <c r="P3" s="42"/>
      <c r="Q3" s="43"/>
      <c r="R3" s="44"/>
      <c r="T3" s="5"/>
      <c r="U3" s="5"/>
      <c r="V3" s="5"/>
      <c r="W3" s="3"/>
      <c r="X3" s="5"/>
      <c r="Y3" s="5"/>
      <c r="Z3" s="5"/>
    </row>
    <row r="4" spans="2:26" ht="15.75" thickBot="1" x14ac:dyDescent="0.3">
      <c r="T4" s="3"/>
      <c r="U4" s="3"/>
      <c r="V4" s="3"/>
      <c r="W4" s="3"/>
      <c r="X4" s="3"/>
      <c r="Y4" s="3"/>
      <c r="Z4" s="3"/>
    </row>
    <row r="5" spans="2:26" ht="31.5" customHeight="1" thickBot="1" x14ac:dyDescent="0.3">
      <c r="B5" s="6" t="s">
        <v>1</v>
      </c>
      <c r="C5" s="7" t="s">
        <v>5</v>
      </c>
      <c r="D5" s="7" t="s">
        <v>6</v>
      </c>
      <c r="E5" s="7" t="s">
        <v>4</v>
      </c>
      <c r="F5" s="7" t="s">
        <v>2</v>
      </c>
      <c r="G5" s="8" t="s">
        <v>3</v>
      </c>
      <c r="K5" s="45" t="s">
        <v>10</v>
      </c>
      <c r="L5" s="46"/>
      <c r="M5" s="22"/>
      <c r="P5" s="6" t="s">
        <v>1</v>
      </c>
      <c r="Q5" s="15" t="s">
        <v>9</v>
      </c>
      <c r="R5" s="16" t="s">
        <v>12</v>
      </c>
      <c r="T5" s="22"/>
      <c r="U5" s="22"/>
      <c r="V5" s="22"/>
      <c r="W5" s="3"/>
      <c r="X5" s="22"/>
      <c r="Y5" s="22"/>
      <c r="Z5" s="22"/>
    </row>
    <row r="6" spans="2:26" x14ac:dyDescent="0.25">
      <c r="B6" s="1">
        <v>45779</v>
      </c>
      <c r="I6" s="23" t="s">
        <v>14</v>
      </c>
      <c r="J6" s="24" t="s">
        <v>5</v>
      </c>
      <c r="K6" s="24" t="s">
        <v>6</v>
      </c>
      <c r="L6" s="24" t="s">
        <v>4</v>
      </c>
      <c r="M6" s="24" t="s">
        <v>2</v>
      </c>
      <c r="N6" s="25" t="s">
        <v>3</v>
      </c>
      <c r="P6" s="1">
        <f>B6</f>
        <v>45779</v>
      </c>
      <c r="T6" s="34"/>
      <c r="U6" s="3"/>
      <c r="V6" s="3"/>
      <c r="W6" s="3"/>
      <c r="X6" s="34"/>
      <c r="Y6" s="3"/>
      <c r="Z6" s="3"/>
    </row>
    <row r="7" spans="2:26" ht="15.75" thickBot="1" x14ac:dyDescent="0.3">
      <c r="B7" s="1">
        <v>45782</v>
      </c>
      <c r="C7">
        <f>LN(dane!B3/dane!B2)</f>
        <v>-3.7404053473374826E-3</v>
      </c>
      <c r="D7">
        <f>LN(dane!C3/dane!C2)</f>
        <v>-3.1719862027154216E-3</v>
      </c>
      <c r="E7">
        <f>LN(dane!D3/dane!D2)</f>
        <v>-6.8774820229223127E-2</v>
      </c>
      <c r="F7">
        <f>LN(dane!E3/dane!E2)</f>
        <v>-3.158543871980108E-2</v>
      </c>
      <c r="G7">
        <f>LN(dane!F3/dane!F2)</f>
        <v>-1.3618674039786569E-2</v>
      </c>
      <c r="I7" s="26" t="s">
        <v>15</v>
      </c>
      <c r="J7" s="20">
        <v>0.2</v>
      </c>
      <c r="K7" s="20">
        <v>0.2</v>
      </c>
      <c r="L7" s="20">
        <v>0.2</v>
      </c>
      <c r="M7" s="20">
        <v>0.2</v>
      </c>
      <c r="N7" s="21">
        <v>0.2</v>
      </c>
      <c r="P7" s="1">
        <f t="shared" ref="P7:P70" si="0">B7</f>
        <v>45782</v>
      </c>
      <c r="Q7">
        <f>0.2*(C7+D7+E7+F7+G7)</f>
        <v>-2.4178264907772737E-2</v>
      </c>
      <c r="R7">
        <f t="shared" ref="R7:R38" si="1">$J$12*C7+$K$12*D7+$L$12*E7+$M$12*F7+$N$12*G7</f>
        <v>-2.4288498877784004E-2</v>
      </c>
      <c r="T7" s="34"/>
      <c r="U7" s="3"/>
      <c r="V7" s="3"/>
      <c r="W7" s="3"/>
      <c r="X7" s="34"/>
      <c r="Y7" s="3"/>
      <c r="Z7" s="3"/>
    </row>
    <row r="8" spans="2:26" ht="15.75" thickBot="1" x14ac:dyDescent="0.3">
      <c r="B8" s="1">
        <v>45783</v>
      </c>
      <c r="C8">
        <f>LN(dane!B4/dane!B3)</f>
        <v>-2.1919202552899444E-2</v>
      </c>
      <c r="D8">
        <f>LN(dane!C4/dane!C3)</f>
        <v>-2.4927106670470454E-2</v>
      </c>
      <c r="E8">
        <f>LN(dane!D4/dane!D3)</f>
        <v>-2.6128615922826139E-2</v>
      </c>
      <c r="F8">
        <f>LN(dane!E4/dane!E3)</f>
        <v>-2.7744528633655334E-2</v>
      </c>
      <c r="G8">
        <f>LN(dane!F4/dane!F3)</f>
        <v>-2.2785517138341625E-2</v>
      </c>
      <c r="I8" s="18"/>
      <c r="P8" s="1">
        <f t="shared" si="0"/>
        <v>45783</v>
      </c>
      <c r="Q8">
        <f t="shared" ref="Q8:Q71" si="2">0.2*(C8+D8+E8+F8+G8)</f>
        <v>-2.4700994183638598E-2</v>
      </c>
      <c r="R8">
        <f t="shared" si="1"/>
        <v>-2.5230959109584228E-2</v>
      </c>
    </row>
    <row r="9" spans="2:26" x14ac:dyDescent="0.25">
      <c r="B9" s="1">
        <v>45784</v>
      </c>
      <c r="C9">
        <f>LN(dane!B5/dane!B4)</f>
        <v>1.1697029165650482E-2</v>
      </c>
      <c r="D9">
        <f>LN(dane!C5/dane!C4)</f>
        <v>1.1056440137728833E-2</v>
      </c>
      <c r="E9">
        <f>LN(dane!D5/dane!D4)</f>
        <v>1.038555086996334E-2</v>
      </c>
      <c r="F9">
        <f>LN(dane!E5/dane!E4)</f>
        <v>8.6580627431145311E-3</v>
      </c>
      <c r="G9">
        <f>LN(dane!F5/dane!F4)</f>
        <v>1.9842865378061635E-2</v>
      </c>
      <c r="I9" s="18"/>
      <c r="K9" s="51" t="s">
        <v>11</v>
      </c>
      <c r="L9" s="52"/>
      <c r="M9" s="5"/>
      <c r="P9" s="1">
        <f t="shared" si="0"/>
        <v>45784</v>
      </c>
      <c r="Q9">
        <f t="shared" si="2"/>
        <v>1.2327989658903762E-2</v>
      </c>
      <c r="R9">
        <f t="shared" si="1"/>
        <v>1.2729986727998568E-2</v>
      </c>
    </row>
    <row r="10" spans="2:26" ht="15.75" thickBot="1" x14ac:dyDescent="0.3">
      <c r="B10" s="1">
        <v>45785</v>
      </c>
      <c r="C10">
        <f>LN(dane!B6/dane!B5)</f>
        <v>8.0785005653993061E-3</v>
      </c>
      <c r="D10">
        <f>LN(dane!C6/dane!C5)</f>
        <v>1.6212587977822601E-2</v>
      </c>
      <c r="E10">
        <f>LN(dane!D6/dane!D5)</f>
        <v>-5.1803062530957639E-3</v>
      </c>
      <c r="F10">
        <f>LN(dane!E6/dane!E5)</f>
        <v>6.8225154087254956E-3</v>
      </c>
      <c r="G10">
        <f>LN(dane!F6/dane!F5)</f>
        <v>1.2203973998382939E-2</v>
      </c>
      <c r="I10" s="18"/>
      <c r="K10" s="53"/>
      <c r="L10" s="54"/>
      <c r="M10" s="5"/>
      <c r="P10" s="1">
        <f t="shared" si="0"/>
        <v>45785</v>
      </c>
      <c r="Q10">
        <f t="shared" si="2"/>
        <v>7.6274543394469155E-3</v>
      </c>
      <c r="R10">
        <f t="shared" si="1"/>
        <v>8.3012765920176933E-3</v>
      </c>
    </row>
    <row r="11" spans="2:26" ht="15.75" thickBot="1" x14ac:dyDescent="0.3">
      <c r="B11" s="1">
        <v>45786</v>
      </c>
      <c r="C11">
        <f>LN(dane!B7/dane!B6)</f>
        <v>4.8689065772248644E-2</v>
      </c>
      <c r="D11">
        <f>LN(dane!C7/dane!C6)</f>
        <v>4.2364663643249145E-2</v>
      </c>
      <c r="E11">
        <f>LN(dane!D7/dane!D6)</f>
        <v>1.4728541439990651E-2</v>
      </c>
      <c r="F11">
        <f>LN(dane!E7/dane!E6)</f>
        <v>2.9282489233390743E-2</v>
      </c>
      <c r="G11">
        <f>LN(dane!F7/dane!F6)</f>
        <v>4.1345282591125902E-2</v>
      </c>
      <c r="I11" s="17" t="s">
        <v>14</v>
      </c>
      <c r="J11" s="11" t="s">
        <v>5</v>
      </c>
      <c r="K11" s="12" t="s">
        <v>6</v>
      </c>
      <c r="L11" s="12" t="s">
        <v>4</v>
      </c>
      <c r="M11" s="12" t="s">
        <v>2</v>
      </c>
      <c r="N11" s="13" t="s">
        <v>3</v>
      </c>
      <c r="P11" s="1">
        <f t="shared" si="0"/>
        <v>45786</v>
      </c>
      <c r="Q11">
        <f t="shared" si="2"/>
        <v>3.5282008536001018E-2</v>
      </c>
      <c r="R11">
        <f t="shared" si="1"/>
        <v>3.4694807556242914E-2</v>
      </c>
    </row>
    <row r="12" spans="2:26" ht="15.75" thickBot="1" x14ac:dyDescent="0.3">
      <c r="B12" s="1">
        <v>45789</v>
      </c>
      <c r="C12">
        <f>LN(dane!B8/dane!B7)</f>
        <v>-3.3276987615969279E-3</v>
      </c>
      <c r="D12">
        <f>LN(dane!C8/dane!C7)</f>
        <v>1.9599614282079696E-3</v>
      </c>
      <c r="E12">
        <f>LN(dane!D8/dane!D7)</f>
        <v>2.367908582057144E-2</v>
      </c>
      <c r="F12">
        <f>LN(dane!E8/dane!E7)</f>
        <v>1.239534645471773E-2</v>
      </c>
      <c r="G12">
        <f>LN(dane!F8/dane!F7)</f>
        <v>-3.2638612090325303E-3</v>
      </c>
      <c r="I12" s="17" t="s">
        <v>15</v>
      </c>
      <c r="J12" s="19">
        <v>0.1</v>
      </c>
      <c r="K12" s="20">
        <v>0.1</v>
      </c>
      <c r="L12" s="20">
        <v>0.1</v>
      </c>
      <c r="M12" s="20">
        <v>0.4</v>
      </c>
      <c r="N12" s="21">
        <v>0.3</v>
      </c>
      <c r="P12" s="1">
        <f t="shared" si="0"/>
        <v>45789</v>
      </c>
      <c r="Q12">
        <f t="shared" si="2"/>
        <v>6.2885667465735363E-3</v>
      </c>
      <c r="R12">
        <f t="shared" si="1"/>
        <v>6.2101150678955819E-3</v>
      </c>
    </row>
    <row r="13" spans="2:26" x14ac:dyDescent="0.25">
      <c r="B13" s="1">
        <v>45790</v>
      </c>
      <c r="C13">
        <f>LN(dane!B9/dane!B8)</f>
        <v>2.3051813609868974E-3</v>
      </c>
      <c r="D13">
        <f>LN(dane!C9/dane!C8)</f>
        <v>1.6919000169261515E-2</v>
      </c>
      <c r="E13">
        <f>LN(dane!D9/dane!D8)</f>
        <v>2.7694077581837437E-2</v>
      </c>
      <c r="F13">
        <f>LN(dane!E9/dane!E8)</f>
        <v>-9.7088141269609379E-3</v>
      </c>
      <c r="G13">
        <f>LN(dane!F9/dane!F8)</f>
        <v>6.9817197322069261E-3</v>
      </c>
      <c r="P13" s="1">
        <f t="shared" si="0"/>
        <v>45790</v>
      </c>
      <c r="Q13">
        <f t="shared" si="2"/>
        <v>8.8382329434663672E-3</v>
      </c>
      <c r="R13">
        <f t="shared" si="1"/>
        <v>2.9028161800862878E-3</v>
      </c>
    </row>
    <row r="14" spans="2:26" x14ac:dyDescent="0.25">
      <c r="B14" s="1">
        <v>45791</v>
      </c>
      <c r="C14">
        <f>LN(dane!B10/dane!B9)</f>
        <v>9.670600598544344E-3</v>
      </c>
      <c r="D14">
        <f>LN(dane!C10/dane!C9)</f>
        <v>3.8429912791677632E-3</v>
      </c>
      <c r="E14">
        <f>LN(dane!D10/dane!D9)</f>
        <v>-3.8008407596563376E-3</v>
      </c>
      <c r="F14">
        <f>LN(dane!E10/dane!E9)</f>
        <v>1.7058612641594098E-3</v>
      </c>
      <c r="G14">
        <f>LN(dane!F10/dane!F9)</f>
        <v>-6.047660251334872E-3</v>
      </c>
      <c r="P14" s="1">
        <f t="shared" si="0"/>
        <v>45791</v>
      </c>
      <c r="Q14">
        <f t="shared" si="2"/>
        <v>1.0741904261760613E-3</v>
      </c>
      <c r="R14">
        <f t="shared" si="1"/>
        <v>-1.6067845793112036E-4</v>
      </c>
    </row>
    <row r="15" spans="2:26" x14ac:dyDescent="0.25">
      <c r="B15" s="1">
        <v>45792</v>
      </c>
      <c r="C15">
        <f>LN(dane!B11/dane!B10)</f>
        <v>-1.7115976973293718E-2</v>
      </c>
      <c r="D15">
        <f>LN(dane!C11/dane!C10)</f>
        <v>-8.8057806212966626E-3</v>
      </c>
      <c r="E15">
        <f>LN(dane!D11/dane!D10)</f>
        <v>0</v>
      </c>
      <c r="F15">
        <f>LN(dane!E11/dane!E10)</f>
        <v>-1.1017371816228536E-2</v>
      </c>
      <c r="G15">
        <f>LN(dane!F11/dane!F10)</f>
        <v>-4.6780146956421033E-3</v>
      </c>
      <c r="P15" s="1">
        <f t="shared" si="0"/>
        <v>45792</v>
      </c>
      <c r="Q15">
        <f t="shared" si="2"/>
        <v>-8.3234288212922034E-3</v>
      </c>
      <c r="R15">
        <f t="shared" si="1"/>
        <v>-8.402528894643083E-3</v>
      </c>
    </row>
    <row r="16" spans="2:26" x14ac:dyDescent="0.25">
      <c r="B16" s="1">
        <v>45793</v>
      </c>
      <c r="C16">
        <f>LN(dane!B12/dane!B11)</f>
        <v>-5.9433788824159225E-3</v>
      </c>
      <c r="D16">
        <f>LN(dane!C12/dane!C11)</f>
        <v>4.9627893421290972E-3</v>
      </c>
      <c r="E16">
        <f>LN(dane!D12/dane!D11)</f>
        <v>1.6991158247219286E-2</v>
      </c>
      <c r="F16">
        <f>LN(dane!E12/dane!E11)</f>
        <v>0</v>
      </c>
      <c r="G16">
        <f>LN(dane!F12/dane!F11)</f>
        <v>6.0769572494941857E-3</v>
      </c>
      <c r="P16" s="1">
        <f t="shared" si="0"/>
        <v>45793</v>
      </c>
      <c r="Q16">
        <f t="shared" si="2"/>
        <v>4.4175051912853291E-3</v>
      </c>
      <c r="R16">
        <f t="shared" si="1"/>
        <v>3.4241440455415016E-3</v>
      </c>
    </row>
    <row r="17" spans="2:18" x14ac:dyDescent="0.25">
      <c r="B17" s="1">
        <v>45796</v>
      </c>
      <c r="C17">
        <f>LN(dane!B13/dane!B12)</f>
        <v>-2.0425363723961913E-2</v>
      </c>
      <c r="D17">
        <f>LN(dane!C13/dane!C12)</f>
        <v>-1.6919000169261452E-2</v>
      </c>
      <c r="E17">
        <f>LN(dane!D13/dane!D12)</f>
        <v>-4.244567563635282E-2</v>
      </c>
      <c r="F17">
        <f>LN(dane!E13/dane!E12)</f>
        <v>-7.1649472669617562E-3</v>
      </c>
      <c r="G17">
        <f>LN(dane!F13/dane!F12)</f>
        <v>-1.6917877546503621E-2</v>
      </c>
      <c r="P17" s="1">
        <f t="shared" si="0"/>
        <v>45796</v>
      </c>
      <c r="Q17">
        <f t="shared" si="2"/>
        <v>-2.0774572868608312E-2</v>
      </c>
      <c r="R17">
        <f t="shared" si="1"/>
        <v>-1.5920346123693405E-2</v>
      </c>
    </row>
    <row r="18" spans="2:18" x14ac:dyDescent="0.25">
      <c r="B18" s="1">
        <v>45797</v>
      </c>
      <c r="C18">
        <f>LN(dane!B14/dane!B13)</f>
        <v>5.2771765561858341E-3</v>
      </c>
      <c r="D18">
        <f>LN(dane!C14/dane!C13)</f>
        <v>1.5267472130788381E-2</v>
      </c>
      <c r="E18">
        <f>LN(dane!D14/dane!D13)</f>
        <v>7.0066460255245816E-3</v>
      </c>
      <c r="F18">
        <f>LN(dane!E14/dane!E13)</f>
        <v>-3.9751605140860586E-3</v>
      </c>
      <c r="G18">
        <f>LN(dane!F14/dane!F13)</f>
        <v>1.1310326620123694E-2</v>
      </c>
      <c r="P18" s="1">
        <f t="shared" si="0"/>
        <v>45797</v>
      </c>
      <c r="Q18">
        <f t="shared" si="2"/>
        <v>6.977292163707286E-3</v>
      </c>
      <c r="R18">
        <f t="shared" si="1"/>
        <v>4.5581632516525639E-3</v>
      </c>
    </row>
    <row r="19" spans="2:18" x14ac:dyDescent="0.25">
      <c r="B19" s="1">
        <v>45798</v>
      </c>
      <c r="C19">
        <f>LN(dane!B15/dane!B14)</f>
        <v>-1.084763517347679E-2</v>
      </c>
      <c r="D19">
        <f>LN(dane!C15/dane!C14)</f>
        <v>-1.1637704080209709E-2</v>
      </c>
      <c r="E19">
        <f>LN(dane!D15/dane!D14)</f>
        <v>-5.8354571350615796E-3</v>
      </c>
      <c r="F19">
        <f>LN(dane!E15/dane!E14)</f>
        <v>-4.2409942572545108E-3</v>
      </c>
      <c r="G19">
        <f>LN(dane!F15/dane!F14)</f>
        <v>-1.2259001703287854E-2</v>
      </c>
      <c r="P19" s="1">
        <f t="shared" si="0"/>
        <v>45798</v>
      </c>
      <c r="Q19">
        <f t="shared" si="2"/>
        <v>-8.964158469858088E-3</v>
      </c>
      <c r="R19">
        <f t="shared" si="1"/>
        <v>-8.2061778527629681E-3</v>
      </c>
    </row>
    <row r="20" spans="2:18" x14ac:dyDescent="0.25">
      <c r="B20" s="1">
        <v>45799</v>
      </c>
      <c r="C20">
        <f>LN(dane!B16/dane!B15)</f>
        <v>-3.7314302673330572E-3</v>
      </c>
      <c r="D20">
        <f>LN(dane!C16/dane!C15)</f>
        <v>-3.0704839196690884E-3</v>
      </c>
      <c r="E20">
        <f>LN(dane!D16/dane!D15)</f>
        <v>-3.9093091225873211E-3</v>
      </c>
      <c r="F20">
        <f>LN(dane!E16/dane!E15)</f>
        <v>3.493889254255617E-3</v>
      </c>
      <c r="G20">
        <f>LN(dane!F16/dane!F15)</f>
        <v>-1.2410094784121601E-2</v>
      </c>
      <c r="P20" s="1">
        <f t="shared" si="0"/>
        <v>45799</v>
      </c>
      <c r="Q20">
        <f t="shared" si="2"/>
        <v>-3.9254857678910904E-3</v>
      </c>
      <c r="R20">
        <f t="shared" si="1"/>
        <v>-3.3965950644931804E-3</v>
      </c>
    </row>
    <row r="21" spans="2:18" x14ac:dyDescent="0.25">
      <c r="B21" s="1">
        <v>45800</v>
      </c>
      <c r="C21">
        <f>LN(dane!B17/dane!B16)</f>
        <v>-1.0469446079222879E-2</v>
      </c>
      <c r="D21">
        <f>LN(dane!C17/dane!C16)</f>
        <v>-1.3226589331675215E-2</v>
      </c>
      <c r="E21">
        <f>LN(dane!D17/dane!D16)</f>
        <v>-2.7197706199108645E-2</v>
      </c>
      <c r="F21">
        <f>LN(dane!E17/dane!E16)</f>
        <v>-1.4049403193772368E-2</v>
      </c>
      <c r="G21">
        <f>LN(dane!F17/dane!F16)</f>
        <v>-6.2643470702938029E-3</v>
      </c>
      <c r="P21" s="1">
        <f t="shared" si="0"/>
        <v>45800</v>
      </c>
      <c r="Q21">
        <f t="shared" si="2"/>
        <v>-1.4241498374814582E-2</v>
      </c>
      <c r="R21">
        <f t="shared" si="1"/>
        <v>-1.2588439559597764E-2</v>
      </c>
    </row>
    <row r="22" spans="2:18" x14ac:dyDescent="0.25">
      <c r="B22" s="1">
        <v>45803</v>
      </c>
      <c r="C22">
        <f>LN(dane!B18/dane!B17)</f>
        <v>2.2677934930790681E-2</v>
      </c>
      <c r="D22">
        <f>LN(dane!C18/dane!C17)</f>
        <v>2.9586305370027061E-2</v>
      </c>
      <c r="E22">
        <f>LN(dane!D18/dane!D17)</f>
        <v>2.4452068074976623E-2</v>
      </c>
      <c r="F22">
        <f>LN(dane!E18/dane!E17)</f>
        <v>4.302270407701806E-2</v>
      </c>
      <c r="G22">
        <f>LN(dane!F18/dane!F17)</f>
        <v>3.046403723458907E-2</v>
      </c>
      <c r="P22" s="1">
        <f t="shared" si="0"/>
        <v>45803</v>
      </c>
      <c r="Q22">
        <f t="shared" si="2"/>
        <v>3.0040609937480301E-2</v>
      </c>
      <c r="R22">
        <f t="shared" si="1"/>
        <v>3.4019923638763383E-2</v>
      </c>
    </row>
    <row r="23" spans="2:18" x14ac:dyDescent="0.25">
      <c r="B23" s="1">
        <v>45804</v>
      </c>
      <c r="C23">
        <f>LN(dane!B19/dane!B18)</f>
        <v>1.6481396185598841E-2</v>
      </c>
      <c r="D23">
        <f>LN(dane!C19/dane!C18)</f>
        <v>1.5284140325373216E-2</v>
      </c>
      <c r="E23">
        <f>LN(dane!D19/dane!D18)</f>
        <v>5.0930570424370354E-3</v>
      </c>
      <c r="F23">
        <f>LN(dane!E19/dane!E18)</f>
        <v>1.8701096436897869E-2</v>
      </c>
      <c r="G23">
        <f>LN(dane!F19/dane!F18)</f>
        <v>6.0769572494941857E-3</v>
      </c>
      <c r="P23" s="1">
        <f t="shared" si="0"/>
        <v>45804</v>
      </c>
      <c r="Q23">
        <f t="shared" si="2"/>
        <v>1.2327329447960229E-2</v>
      </c>
      <c r="R23">
        <f t="shared" si="1"/>
        <v>1.2989385104948313E-2</v>
      </c>
    </row>
    <row r="24" spans="2:18" x14ac:dyDescent="0.25">
      <c r="B24" s="1">
        <v>45805</v>
      </c>
      <c r="C24">
        <f>LN(dane!B20/dane!B19)</f>
        <v>9.2977936499146641E-3</v>
      </c>
      <c r="D24">
        <f>LN(dane!C20/dane!C19)</f>
        <v>1.0775966344491739E-2</v>
      </c>
      <c r="E24">
        <f>LN(dane!D20/dane!D19)</f>
        <v>-7.8186086860227235E-4</v>
      </c>
      <c r="F24">
        <f>LN(dane!E20/dane!E19)</f>
        <v>1.6957542473201016E-2</v>
      </c>
      <c r="G24">
        <f>LN(dane!F20/dane!F19)</f>
        <v>2.3265485338987081E-3</v>
      </c>
      <c r="P24" s="1">
        <f t="shared" si="0"/>
        <v>45805</v>
      </c>
      <c r="Q24">
        <f t="shared" si="2"/>
        <v>7.7151980265807709E-3</v>
      </c>
      <c r="R24">
        <f t="shared" si="1"/>
        <v>9.4101714620304332E-3</v>
      </c>
    </row>
    <row r="25" spans="2:18" x14ac:dyDescent="0.25">
      <c r="B25" s="1">
        <v>45806</v>
      </c>
      <c r="C25">
        <f>LN(dane!B21/dane!B20)</f>
        <v>-2.3144778684529816E-2</v>
      </c>
      <c r="D25">
        <f>LN(dane!C21/dane!C20)</f>
        <v>-8.6114633349185822E-3</v>
      </c>
      <c r="E25">
        <f>LN(dane!D21/dane!D20)</f>
        <v>-1.7357437747594334E-2</v>
      </c>
      <c r="F25">
        <f>LN(dane!E21/dane!E20)</f>
        <v>-1.0328730321383681E-2</v>
      </c>
      <c r="G25">
        <f>LN(dane!F21/dane!F20)</f>
        <v>-2.7811920112495378E-2</v>
      </c>
      <c r="P25" s="1">
        <f t="shared" si="0"/>
        <v>45806</v>
      </c>
      <c r="Q25">
        <f t="shared" si="2"/>
        <v>-1.7450866040184358E-2</v>
      </c>
      <c r="R25">
        <f t="shared" si="1"/>
        <v>-1.738643613900636E-2</v>
      </c>
    </row>
    <row r="26" spans="2:18" x14ac:dyDescent="0.25">
      <c r="B26" s="1">
        <v>45807</v>
      </c>
      <c r="C26">
        <f>LN(dane!B22/dane!B21)</f>
        <v>-9.7828955045795012E-3</v>
      </c>
      <c r="D26">
        <f>LN(dane!C22/dane!C21)</f>
        <v>-3.7909604025471821E-3</v>
      </c>
      <c r="E26">
        <f>LN(dane!D22/dane!D21)</f>
        <v>-3.987246111817935E-3</v>
      </c>
      <c r="F26">
        <f>LN(dane!E22/dane!E21)</f>
        <v>-3.3104486135845275E-2</v>
      </c>
      <c r="G26">
        <f>LN(dane!F22/dane!F21)</f>
        <v>-6.2332524072282024E-3</v>
      </c>
      <c r="P26" s="1">
        <f t="shared" si="0"/>
        <v>45807</v>
      </c>
      <c r="Q26">
        <f t="shared" si="2"/>
        <v>-1.137976811240362E-2</v>
      </c>
      <c r="R26">
        <f t="shared" si="1"/>
        <v>-1.6867880378401031E-2</v>
      </c>
    </row>
    <row r="27" spans="2:18" x14ac:dyDescent="0.25">
      <c r="B27" s="1">
        <v>45810</v>
      </c>
      <c r="C27">
        <f>LN(dane!B23/dane!B22)</f>
        <v>-3.1577305990469109E-2</v>
      </c>
      <c r="D27">
        <f>LN(dane!C23/dane!C22)</f>
        <v>-4.8953048534131297E-3</v>
      </c>
      <c r="E27">
        <f>LN(dane!D23/dane!D22)</f>
        <v>-1.0038229242686408E-2</v>
      </c>
      <c r="F27">
        <f>LN(dane!E23/dane!E22)</f>
        <v>-2.0949626311537142E-2</v>
      </c>
      <c r="G27">
        <f>LN(dane!F23/dane!F22)</f>
        <v>-1.844768163425449E-2</v>
      </c>
      <c r="P27" s="1">
        <f t="shared" si="0"/>
        <v>45810</v>
      </c>
      <c r="Q27">
        <f t="shared" si="2"/>
        <v>-1.7181629606472057E-2</v>
      </c>
      <c r="R27">
        <f t="shared" si="1"/>
        <v>-1.856523902354807E-2</v>
      </c>
    </row>
    <row r="28" spans="2:18" x14ac:dyDescent="0.25">
      <c r="B28" s="1">
        <v>45811</v>
      </c>
      <c r="C28">
        <f>LN(dane!B24/dane!B23)</f>
        <v>-1.5474551968089575E-2</v>
      </c>
      <c r="D28">
        <f>LN(dane!C24/dane!C23)</f>
        <v>-3.5519827248535328E-2</v>
      </c>
      <c r="E28">
        <f>LN(dane!D24/dane!D23)</f>
        <v>-2.1414094503816473E-2</v>
      </c>
      <c r="F28">
        <f>LN(dane!E24/dane!E23)</f>
        <v>-2.2416251544455559E-2</v>
      </c>
      <c r="G28">
        <f>LN(dane!F24/dane!F23)</f>
        <v>-1.5304968607202525E-2</v>
      </c>
      <c r="P28" s="1">
        <f t="shared" si="0"/>
        <v>45811</v>
      </c>
      <c r="Q28">
        <f t="shared" si="2"/>
        <v>-2.2025938774419895E-2</v>
      </c>
      <c r="R28">
        <f t="shared" si="1"/>
        <v>-2.0798838571987121E-2</v>
      </c>
    </row>
    <row r="29" spans="2:18" x14ac:dyDescent="0.25">
      <c r="B29" s="1">
        <v>45812</v>
      </c>
      <c r="C29">
        <f>LN(dane!B25/dane!B24)</f>
        <v>-2.7777238673089728E-4</v>
      </c>
      <c r="D29">
        <f>LN(dane!C25/dane!C24)</f>
        <v>1.6807118316381191E-2</v>
      </c>
      <c r="E29">
        <f>LN(dane!D25/dane!D24)</f>
        <v>3.0873750982513279E-3</v>
      </c>
      <c r="F29">
        <f>LN(dane!E25/dane!E24)</f>
        <v>1.0893077946658947E-2</v>
      </c>
      <c r="G29">
        <f>LN(dane!F25/dane!F24)</f>
        <v>2.9806607289221804E-3</v>
      </c>
      <c r="P29" s="1">
        <f t="shared" si="0"/>
        <v>45812</v>
      </c>
      <c r="Q29">
        <f t="shared" si="2"/>
        <v>6.6980919406965508E-3</v>
      </c>
      <c r="R29">
        <f t="shared" si="1"/>
        <v>7.213101500130395E-3</v>
      </c>
    </row>
    <row r="30" spans="2:18" x14ac:dyDescent="0.25">
      <c r="B30" s="1">
        <v>45813</v>
      </c>
      <c r="C30">
        <f>LN(dane!B26/dane!B25)</f>
        <v>-1.9123624987171642E-2</v>
      </c>
      <c r="D30">
        <f>LN(dane!C26/dane!C25)</f>
        <v>-2.1904835388049979E-2</v>
      </c>
      <c r="E30">
        <f>LN(dane!D26/dane!D25)</f>
        <v>-1.7204279663171028E-2</v>
      </c>
      <c r="F30">
        <f>LN(dane!E26/dane!E25)</f>
        <v>-1.7537620665327474E-2</v>
      </c>
      <c r="G30">
        <f>LN(dane!F26/dane!F25)</f>
        <v>-2.5725325109974623E-2</v>
      </c>
      <c r="P30" s="1">
        <f t="shared" si="0"/>
        <v>45813</v>
      </c>
      <c r="Q30">
        <f t="shared" si="2"/>
        <v>-2.0299137162738949E-2</v>
      </c>
      <c r="R30">
        <f t="shared" si="1"/>
        <v>-2.0555919802962643E-2</v>
      </c>
    </row>
    <row r="31" spans="2:18" x14ac:dyDescent="0.25">
      <c r="B31" s="1">
        <v>45814</v>
      </c>
      <c r="C31">
        <f>LN(dane!B27/dane!B26)</f>
        <v>-2.0074146620211644E-2</v>
      </c>
      <c r="D31">
        <f>LN(dane!C27/dane!C26)</f>
        <v>-2.5594495598459357E-2</v>
      </c>
      <c r="E31">
        <f>LN(dane!D27/dane!D26)</f>
        <v>-3.0138104439121086E-2</v>
      </c>
      <c r="F31">
        <f>LN(dane!E27/dane!E26)</f>
        <v>-7.463681540089597E-3</v>
      </c>
      <c r="G31">
        <f>LN(dane!F27/dane!F26)</f>
        <v>-1.2702101548463898E-2</v>
      </c>
      <c r="P31" s="1">
        <f t="shared" si="0"/>
        <v>45814</v>
      </c>
      <c r="Q31">
        <f t="shared" si="2"/>
        <v>-1.9194505949269115E-2</v>
      </c>
      <c r="R31">
        <f t="shared" si="1"/>
        <v>-1.4376777746354218E-2</v>
      </c>
    </row>
    <row r="32" spans="2:18" x14ac:dyDescent="0.25">
      <c r="B32" s="1">
        <v>45817</v>
      </c>
      <c r="C32">
        <f>LN(dane!B28/dane!B27)</f>
        <v>2.007414662021165E-2</v>
      </c>
      <c r="D32">
        <f>LN(dane!C28/dane!C27)</f>
        <v>1.3885094353746949E-2</v>
      </c>
      <c r="E32">
        <f>LN(dane!D28/dane!D27)</f>
        <v>1.6667052485211643E-2</v>
      </c>
      <c r="F32">
        <f>LN(dane!E28/dane!E27)</f>
        <v>2.0202707317519469E-2</v>
      </c>
      <c r="G32">
        <f>LN(dane!F28/dane!F27)</f>
        <v>7.3948982128324075E-3</v>
      </c>
      <c r="P32" s="1">
        <f t="shared" si="0"/>
        <v>45817</v>
      </c>
      <c r="Q32">
        <f t="shared" si="2"/>
        <v>1.5644779797904424E-2</v>
      </c>
      <c r="R32">
        <f t="shared" si="1"/>
        <v>1.5362181736774536E-2</v>
      </c>
    </row>
    <row r="33" spans="2:18" x14ac:dyDescent="0.25">
      <c r="B33" s="1">
        <v>45818</v>
      </c>
      <c r="C33">
        <f>LN(dane!B29/dane!B28)</f>
        <v>3.4053733888472472E-2</v>
      </c>
      <c r="D33">
        <f>LN(dane!C29/dane!C28)</f>
        <v>3.1946179532065348E-2</v>
      </c>
      <c r="E33">
        <f>LN(dane!D29/dane!D28)</f>
        <v>1.6602251673252476E-2</v>
      </c>
      <c r="F33">
        <f>LN(dane!E29/dane!E28)</f>
        <v>1.980262729617973E-2</v>
      </c>
      <c r="G33">
        <f>LN(dane!F29/dane!F28)</f>
        <v>2.0661507450421335E-2</v>
      </c>
      <c r="P33" s="1">
        <f t="shared" si="0"/>
        <v>45818</v>
      </c>
      <c r="Q33">
        <f t="shared" si="2"/>
        <v>2.4613259968078272E-2</v>
      </c>
      <c r="R33">
        <f t="shared" si="1"/>
        <v>2.2379719662977322E-2</v>
      </c>
    </row>
    <row r="34" spans="2:18" x14ac:dyDescent="0.25">
      <c r="B34" s="1">
        <v>45819</v>
      </c>
      <c r="C34">
        <f>LN(dane!B30/dane!B29)</f>
        <v>-2.7480701614868877E-3</v>
      </c>
      <c r="D34">
        <f>LN(dane!C30/dane!C29)</f>
        <v>1.4364887895104086E-2</v>
      </c>
      <c r="E34">
        <f>LN(dane!D30/dane!D29)</f>
        <v>-9.2127954795006971E-3</v>
      </c>
      <c r="F34">
        <f>LN(dane!E30/dane!E29)</f>
        <v>-3.0236619398392471E-2</v>
      </c>
      <c r="G34">
        <f>LN(dane!F30/dane!F29)</f>
        <v>-5.2261256515342214E-3</v>
      </c>
      <c r="P34" s="1">
        <f t="shared" si="0"/>
        <v>45819</v>
      </c>
      <c r="Q34">
        <f t="shared" si="2"/>
        <v>-6.6117445591620388E-3</v>
      </c>
      <c r="R34">
        <f t="shared" si="1"/>
        <v>-1.3422083229405605E-2</v>
      </c>
    </row>
    <row r="35" spans="2:18" x14ac:dyDescent="0.25">
      <c r="B35" s="1">
        <v>45820</v>
      </c>
      <c r="C35">
        <f>LN(dane!B31/dane!B30)</f>
        <v>-1.5530331293031063E-2</v>
      </c>
      <c r="D35">
        <f>LN(dane!C31/dane!C30)</f>
        <v>-1.2696830794407067E-2</v>
      </c>
      <c r="E35">
        <f>LN(dane!D31/dane!D30)</f>
        <v>5.0356799656156486E-3</v>
      </c>
      <c r="F35">
        <f>LN(dane!E31/dane!E30)</f>
        <v>1.2782821630667742E-3</v>
      </c>
      <c r="G35">
        <f>LN(dane!F31/dane!F30)</f>
        <v>-3.633982083062909E-3</v>
      </c>
      <c r="P35" s="1">
        <f t="shared" si="0"/>
        <v>45820</v>
      </c>
      <c r="Q35">
        <f t="shared" si="2"/>
        <v>-5.1094364083637232E-3</v>
      </c>
      <c r="R35">
        <f t="shared" si="1"/>
        <v>-2.8980299718744116E-3</v>
      </c>
    </row>
    <row r="36" spans="2:18" x14ac:dyDescent="0.25">
      <c r="B36" s="1">
        <v>45821</v>
      </c>
      <c r="C36">
        <f>LN(dane!B32/dane!B31)</f>
        <v>-1.6911722158130155E-2</v>
      </c>
      <c r="D36">
        <f>LN(dane!C32/dane!C31)</f>
        <v>-1.8220546113528288E-2</v>
      </c>
      <c r="E36">
        <f>LN(dane!D32/dane!D31)</f>
        <v>-2.0723938974062498E-2</v>
      </c>
      <c r="F36">
        <f>LN(dane!E32/dane!E31)</f>
        <v>-2.0651224350431773E-2</v>
      </c>
      <c r="G36">
        <f>LN(dane!F32/dane!F31)</f>
        <v>-2.4363944766226484E-2</v>
      </c>
      <c r="P36" s="1">
        <f t="shared" si="0"/>
        <v>45821</v>
      </c>
      <c r="Q36">
        <f t="shared" si="2"/>
        <v>-2.0174275272475839E-2</v>
      </c>
      <c r="R36">
        <f t="shared" si="1"/>
        <v>-2.1155293894612747E-2</v>
      </c>
    </row>
    <row r="37" spans="2:18" x14ac:dyDescent="0.25">
      <c r="B37" s="1">
        <v>45824</v>
      </c>
      <c r="C37">
        <f>LN(dane!B33/dane!B32)</f>
        <v>2.8498039238228785E-4</v>
      </c>
      <c r="D37">
        <f>LN(dane!C33/dane!C32)</f>
        <v>5.6561087480755162E-4</v>
      </c>
      <c r="E37">
        <f>LN(dane!D33/dane!D32)</f>
        <v>6.4082027184933119E-4</v>
      </c>
      <c r="F37">
        <f>LN(dane!E33/dane!E32)</f>
        <v>-2.0887736053914648E-3</v>
      </c>
      <c r="G37">
        <f>LN(dane!F33/dane!F32)</f>
        <v>8.2556913414728473E-3</v>
      </c>
      <c r="P37" s="1">
        <f t="shared" si="0"/>
        <v>45824</v>
      </c>
      <c r="Q37">
        <f t="shared" si="2"/>
        <v>1.5316658550241107E-3</v>
      </c>
      <c r="R37">
        <f t="shared" si="1"/>
        <v>1.7903391141891852E-3</v>
      </c>
    </row>
    <row r="38" spans="2:18" x14ac:dyDescent="0.25">
      <c r="B38" s="1">
        <v>45825</v>
      </c>
      <c r="C38">
        <f>LN(dane!B34/dane!B33)</f>
        <v>8.5140933179336071E-4</v>
      </c>
      <c r="D38">
        <f>LN(dane!C34/dane!C33)</f>
        <v>-1.9810392781381288E-3</v>
      </c>
      <c r="E38">
        <f>LN(dane!D34/dane!D33)</f>
        <v>1.2098205505580396E-2</v>
      </c>
      <c r="F38">
        <f>LN(dane!E34/dane!E33)</f>
        <v>-1.8731585801963085E-2</v>
      </c>
      <c r="G38">
        <f>LN(dane!F34/dane!F33)</f>
        <v>1.8330650736491486E-2</v>
      </c>
      <c r="P38" s="1">
        <f t="shared" si="0"/>
        <v>45825</v>
      </c>
      <c r="Q38">
        <f t="shared" si="2"/>
        <v>2.1135280987528058E-3</v>
      </c>
      <c r="R38">
        <f t="shared" si="1"/>
        <v>-8.9658154391422575E-4</v>
      </c>
    </row>
    <row r="39" spans="2:18" x14ac:dyDescent="0.25">
      <c r="B39" s="1">
        <v>45826</v>
      </c>
      <c r="C39">
        <f>LN(dane!B35/dane!B34)</f>
        <v>-5.6949066311578304E-3</v>
      </c>
      <c r="D39">
        <f>LN(dane!C35/dane!C34)</f>
        <v>-7.3926978710605017E-3</v>
      </c>
      <c r="E39">
        <f>LN(dane!D35/dane!D34)</f>
        <v>-1.5734962107746796E-2</v>
      </c>
      <c r="F39">
        <f>LN(dane!E35/dane!E34)</f>
        <v>-7.7530130367012432E-3</v>
      </c>
      <c r="G39">
        <f>LN(dane!F35/dane!F34)</f>
        <v>-4.8558591593179162E-3</v>
      </c>
      <c r="P39" s="1">
        <f t="shared" si="0"/>
        <v>45826</v>
      </c>
      <c r="Q39">
        <f t="shared" si="2"/>
        <v>-8.2862877611968571E-3</v>
      </c>
      <c r="R39">
        <f t="shared" ref="R39:R71" si="3">$J$12*C39+$K$12*D39+$L$12*E39+$M$12*F39+$N$12*G39</f>
        <v>-7.4402196234723854E-3</v>
      </c>
    </row>
    <row r="40" spans="2:18" x14ac:dyDescent="0.25">
      <c r="B40" s="1">
        <v>45828</v>
      </c>
      <c r="C40">
        <f>LN(dane!B36/dane!B35)</f>
        <v>6.8300064394364243E-3</v>
      </c>
      <c r="D40">
        <f>LN(dane!C36/dane!C35)</f>
        <v>2.2805026987253031E-3</v>
      </c>
      <c r="E40">
        <f>LN(dane!D36/dane!D35)</f>
        <v>3.8502721362325435E-3</v>
      </c>
      <c r="F40">
        <f>LN(dane!E36/dane!E35)</f>
        <v>1.0412589072460232E-2</v>
      </c>
      <c r="G40">
        <f>LN(dane!F36/dane!F35)</f>
        <v>-2.0296954550650904E-3</v>
      </c>
      <c r="P40" s="1">
        <f t="shared" si="0"/>
        <v>45828</v>
      </c>
      <c r="Q40">
        <f t="shared" si="2"/>
        <v>4.2687349783578831E-3</v>
      </c>
      <c r="R40">
        <f t="shared" si="3"/>
        <v>4.852205119903993E-3</v>
      </c>
    </row>
    <row r="41" spans="2:18" x14ac:dyDescent="0.25">
      <c r="B41" s="1">
        <v>45831</v>
      </c>
      <c r="C41">
        <f>LN(dane!B37/dane!B36)</f>
        <v>-2.8478717721767494E-2</v>
      </c>
      <c r="D41">
        <f>LN(dane!C37/dane!C36)</f>
        <v>-2.9766682617104166E-2</v>
      </c>
      <c r="E41">
        <f>LN(dane!D37/dane!D36)</f>
        <v>-2.332719165797404E-2</v>
      </c>
      <c r="F41">
        <f>LN(dane!E37/dane!E36)</f>
        <v>-3.7617748919197509E-2</v>
      </c>
      <c r="G41">
        <f>LN(dane!F37/dane!F36)</f>
        <v>-3.536707227294187E-2</v>
      </c>
      <c r="P41" s="1">
        <f t="shared" si="0"/>
        <v>45831</v>
      </c>
      <c r="Q41">
        <f t="shared" si="2"/>
        <v>-3.0911482637797014E-2</v>
      </c>
      <c r="R41">
        <f t="shared" si="3"/>
        <v>-3.3814480449246134E-2</v>
      </c>
    </row>
    <row r="42" spans="2:18" x14ac:dyDescent="0.25">
      <c r="B42" s="1">
        <v>45832</v>
      </c>
      <c r="C42">
        <f>LN(dane!B38/dane!B37)</f>
        <v>5.8923691182206521E-2</v>
      </c>
      <c r="D42">
        <f>LN(dane!C38/dane!C37)</f>
        <v>6.0607366305455594E-2</v>
      </c>
      <c r="E42">
        <f>LN(dane!D38/dane!D37)</f>
        <v>3.3522692038643435E-2</v>
      </c>
      <c r="F42">
        <f>LN(dane!E38/dane!E37)</f>
        <v>5.6039322486560073E-2</v>
      </c>
      <c r="G42">
        <f>LN(dane!F38/dane!F37)</f>
        <v>5.0292589963031036E-2</v>
      </c>
      <c r="P42" s="1">
        <f t="shared" si="0"/>
        <v>45832</v>
      </c>
      <c r="Q42">
        <f t="shared" si="2"/>
        <v>5.1877132395179326E-2</v>
      </c>
      <c r="R42">
        <f t="shared" si="3"/>
        <v>5.2808880936163899E-2</v>
      </c>
    </row>
    <row r="43" spans="2:18" x14ac:dyDescent="0.25">
      <c r="B43" s="1">
        <v>45833</v>
      </c>
      <c r="C43">
        <f>LN(dane!B39/dane!B38)</f>
        <v>-2.2253053945420386E-2</v>
      </c>
      <c r="D43">
        <f>LN(dane!C39/dane!C38)</f>
        <v>-2.1488199477130758E-2</v>
      </c>
      <c r="E43">
        <f>LN(dane!D39/dane!D38)</f>
        <v>-1.2546682397851137E-2</v>
      </c>
      <c r="F43">
        <f>LN(dane!E39/dane!E38)</f>
        <v>-1.3916464582953805E-2</v>
      </c>
      <c r="G43">
        <f>LN(dane!F39/dane!F38)</f>
        <v>-8.4442741030209181E-3</v>
      </c>
      <c r="P43" s="1">
        <f t="shared" si="0"/>
        <v>45833</v>
      </c>
      <c r="Q43">
        <f t="shared" si="2"/>
        <v>-1.57297349012754E-2</v>
      </c>
      <c r="R43">
        <f t="shared" si="3"/>
        <v>-1.3728661646128026E-2</v>
      </c>
    </row>
    <row r="44" spans="2:18" x14ac:dyDescent="0.25">
      <c r="B44" s="1">
        <v>45834</v>
      </c>
      <c r="C44">
        <f>LN(dane!B40/dane!B39)</f>
        <v>3.5914778836258258E-2</v>
      </c>
      <c r="D44">
        <f>LN(dane!C40/dane!C39)</f>
        <v>2.7269358042335969E-2</v>
      </c>
      <c r="E44">
        <f>LN(dane!D40/dane!D39)</f>
        <v>1.2123938785552565E-2</v>
      </c>
      <c r="F44">
        <f>LN(dane!E40/dane!E39)</f>
        <v>1.9377406512033613E-2</v>
      </c>
      <c r="G44">
        <f>LN(dane!F40/dane!F39)</f>
        <v>1.4432381716436687E-2</v>
      </c>
      <c r="P44" s="1">
        <f t="shared" si="0"/>
        <v>45834</v>
      </c>
      <c r="Q44">
        <f t="shared" si="2"/>
        <v>2.1823572778523419E-2</v>
      </c>
      <c r="R44">
        <f t="shared" si="3"/>
        <v>1.9611484686159131E-2</v>
      </c>
    </row>
    <row r="45" spans="2:18" x14ac:dyDescent="0.25">
      <c r="B45" s="1">
        <v>45835</v>
      </c>
      <c r="C45">
        <f>LN(dane!B41/dane!B40)</f>
        <v>5.4260584508919875E-4</v>
      </c>
      <c r="D45">
        <f>LN(dane!C41/dane!C40)</f>
        <v>-8.2383637777745026E-4</v>
      </c>
      <c r="E45">
        <f>LN(dane!D41/dane!D40)</f>
        <v>1.8848725558667331E-2</v>
      </c>
      <c r="F45">
        <f>LN(dane!E41/dane!E40)</f>
        <v>3.6241302933912442E-3</v>
      </c>
      <c r="G45">
        <f>LN(dane!F41/dane!F40)</f>
        <v>1.5645690725736253E-2</v>
      </c>
      <c r="P45" s="1">
        <f t="shared" si="0"/>
        <v>45835</v>
      </c>
      <c r="Q45">
        <f t="shared" si="2"/>
        <v>7.5674632090213167E-3</v>
      </c>
      <c r="R45">
        <f t="shared" si="3"/>
        <v>8.0001088376752821E-3</v>
      </c>
    </row>
    <row r="46" spans="2:18" x14ac:dyDescent="0.25">
      <c r="B46" s="1">
        <v>45838</v>
      </c>
      <c r="C46">
        <f>LN(dane!B42/dane!B41)</f>
        <v>2.0137348366032998E-2</v>
      </c>
      <c r="D46">
        <f>LN(dane!C42/dane!C41)</f>
        <v>1.6349138001529411E-2</v>
      </c>
      <c r="E46">
        <f>LN(dane!D42/dane!D41)</f>
        <v>2.3781358540577887E-2</v>
      </c>
      <c r="F46">
        <f>LN(dane!E42/dane!E41)</f>
        <v>3.0536723860081702E-2</v>
      </c>
      <c r="G46">
        <f>LN(dane!F42/dane!F41)</f>
        <v>1.9641963670501587E-2</v>
      </c>
      <c r="P46" s="1">
        <f t="shared" si="0"/>
        <v>45838</v>
      </c>
      <c r="Q46">
        <f t="shared" si="2"/>
        <v>2.2089306487744719E-2</v>
      </c>
      <c r="R46">
        <f t="shared" si="3"/>
        <v>2.4134063135997186E-2</v>
      </c>
    </row>
    <row r="47" spans="2:18" x14ac:dyDescent="0.25">
      <c r="B47" s="1">
        <v>45839</v>
      </c>
      <c r="C47">
        <f>LN(dane!B43/dane!B42)</f>
        <v>-1.338022313589367E-2</v>
      </c>
      <c r="D47">
        <f>LN(dane!C43/dane!C42)</f>
        <v>-1.3605652055778598E-2</v>
      </c>
      <c r="E47">
        <f>LN(dane!D43/dane!D42)</f>
        <v>-1.3461349508588365E-2</v>
      </c>
      <c r="F47">
        <f>LN(dane!E43/dane!E42)</f>
        <v>-5.7810893695790519E-3</v>
      </c>
      <c r="G47">
        <f>LN(dane!F43/dane!F42)</f>
        <v>-1.4480661890276218E-2</v>
      </c>
      <c r="P47" s="1">
        <f t="shared" si="0"/>
        <v>45839</v>
      </c>
      <c r="Q47">
        <f t="shared" si="2"/>
        <v>-1.2141795192023181E-2</v>
      </c>
      <c r="R47">
        <f t="shared" si="3"/>
        <v>-1.070135678494055E-2</v>
      </c>
    </row>
    <row r="48" spans="2:18" x14ac:dyDescent="0.25">
      <c r="B48" s="1">
        <v>45840</v>
      </c>
      <c r="C48">
        <f>LN(dane!B44/dane!B43)</f>
        <v>1.6034917487210729E-2</v>
      </c>
      <c r="D48">
        <f>LN(dane!C44/dane!C43)</f>
        <v>6.5538191985336581E-3</v>
      </c>
      <c r="E48">
        <f>LN(dane!D44/dane!D43)</f>
        <v>6.345328832912102E-3</v>
      </c>
      <c r="F48">
        <f>LN(dane!E44/dane!E43)</f>
        <v>-8.0992596628265481E-3</v>
      </c>
      <c r="G48">
        <f>LN(dane!F44/dane!F43)</f>
        <v>1.2999650300414561E-2</v>
      </c>
      <c r="P48" s="1">
        <f t="shared" si="0"/>
        <v>45840</v>
      </c>
      <c r="Q48">
        <f t="shared" si="2"/>
        <v>6.7668912312489008E-3</v>
      </c>
      <c r="R48">
        <f t="shared" si="3"/>
        <v>3.5535977768593975E-3</v>
      </c>
    </row>
    <row r="49" spans="2:18" x14ac:dyDescent="0.25">
      <c r="B49" s="1">
        <v>45841</v>
      </c>
      <c r="C49">
        <f>LN(dane!B45/dane!B44)</f>
        <v>2.6682799065953375E-2</v>
      </c>
      <c r="D49">
        <f>LN(dane!C45/dane!C44)</f>
        <v>2.9764900096478308E-2</v>
      </c>
      <c r="E49">
        <f>LN(dane!D45/dane!D44)</f>
        <v>5.7294431250386711E-2</v>
      </c>
      <c r="F49">
        <f>LN(dane!E45/dane!E44)</f>
        <v>2.4103602265662299E-2</v>
      </c>
      <c r="G49">
        <f>LN(dane!F45/dane!F44)</f>
        <v>4.5932774160695473E-2</v>
      </c>
      <c r="P49" s="1">
        <f t="shared" si="0"/>
        <v>45841</v>
      </c>
      <c r="Q49">
        <f t="shared" si="2"/>
        <v>3.6755701367835229E-2</v>
      </c>
      <c r="R49">
        <f t="shared" si="3"/>
        <v>3.4795486195755398E-2</v>
      </c>
    </row>
    <row r="50" spans="2:18" x14ac:dyDescent="0.25">
      <c r="B50" s="1">
        <v>45842</v>
      </c>
      <c r="C50">
        <f>LN(dane!B46/dane!B45)</f>
        <v>-7.2540790460186907E-3</v>
      </c>
      <c r="D50">
        <f>LN(dane!C46/dane!C45)</f>
        <v>-3.9708854294927317E-3</v>
      </c>
      <c r="E50">
        <f>LN(dane!D46/dane!D45)</f>
        <v>-1.2408069235917861E-2</v>
      </c>
      <c r="F50">
        <f>LN(dane!E46/dane!E45)</f>
        <v>-2.4103602265662279E-2</v>
      </c>
      <c r="G50">
        <f>LN(dane!F46/dane!F45)</f>
        <v>-1.9398260125283687E-2</v>
      </c>
      <c r="P50" s="1">
        <f t="shared" si="0"/>
        <v>45842</v>
      </c>
      <c r="Q50">
        <f t="shared" si="2"/>
        <v>-1.342697922047505E-2</v>
      </c>
      <c r="R50">
        <f t="shared" si="3"/>
        <v>-1.7824222314992946E-2</v>
      </c>
    </row>
    <row r="51" spans="2:18" x14ac:dyDescent="0.25">
      <c r="B51" s="1">
        <v>45845</v>
      </c>
      <c r="C51">
        <f>LN(dane!B47/dane!B46)</f>
        <v>2.5928548871422978E-4</v>
      </c>
      <c r="D51">
        <f>LN(dane!C47/dane!C46)</f>
        <v>-5.3064474580277981E-4</v>
      </c>
      <c r="E51">
        <f>LN(dane!D47/dane!D46)</f>
        <v>7.8003124079867401E-4</v>
      </c>
      <c r="F51">
        <f>LN(dane!E47/dane!E46)</f>
        <v>-3.5641585591719154E-3</v>
      </c>
      <c r="G51">
        <f>LN(dane!F47/dane!F46)</f>
        <v>2.0004749580849478E-2</v>
      </c>
      <c r="P51" s="1">
        <f t="shared" si="0"/>
        <v>45845</v>
      </c>
      <c r="Q51">
        <f t="shared" si="2"/>
        <v>3.3898526010775372E-3</v>
      </c>
      <c r="R51">
        <f t="shared" si="3"/>
        <v>4.6266286489570893E-3</v>
      </c>
    </row>
    <row r="52" spans="2:18" x14ac:dyDescent="0.25">
      <c r="B52" s="1">
        <v>45846</v>
      </c>
      <c r="C52">
        <f>LN(dane!B48/dane!B47)</f>
        <v>2.0073184497416425E-2</v>
      </c>
      <c r="D52">
        <f>LN(dane!C48/dane!C47)</f>
        <v>1.0822330782350335E-2</v>
      </c>
      <c r="E52">
        <f>LN(dane!D48/dane!D47)</f>
        <v>8.9268980159213519E-3</v>
      </c>
      <c r="F52">
        <f>LN(dane!E48/dane!E47)</f>
        <v>1.367802479610062E-2</v>
      </c>
      <c r="G52">
        <f>LN(dane!F48/dane!F47)</f>
        <v>1.5441999414898083E-2</v>
      </c>
      <c r="P52" s="1">
        <f t="shared" si="0"/>
        <v>45846</v>
      </c>
      <c r="Q52">
        <f t="shared" si="2"/>
        <v>1.3788487501337363E-2</v>
      </c>
      <c r="R52">
        <f t="shared" si="3"/>
        <v>1.4086051072478484E-2</v>
      </c>
    </row>
    <row r="53" spans="2:18" x14ac:dyDescent="0.25">
      <c r="B53" s="1">
        <v>45847</v>
      </c>
      <c r="C53">
        <f>LN(dane!B49/dane!B48)</f>
        <v>1.1148072455338257E-2</v>
      </c>
      <c r="D53">
        <f>LN(dane!C49/dane!C48)</f>
        <v>5.4981156960876793E-3</v>
      </c>
      <c r="E53">
        <f>LN(dane!D49/dane!D48)</f>
        <v>-3.095977705128121E-3</v>
      </c>
      <c r="F53">
        <f>LN(dane!E49/dane!E48)</f>
        <v>-4.0332799823017233E-3</v>
      </c>
      <c r="G53">
        <f>LN(dane!F49/dane!F48)</f>
        <v>1.4324769521333687E-2</v>
      </c>
      <c r="P53" s="1">
        <f t="shared" si="0"/>
        <v>45847</v>
      </c>
      <c r="Q53">
        <f t="shared" si="2"/>
        <v>4.7683399970659566E-3</v>
      </c>
      <c r="R53">
        <f t="shared" si="3"/>
        <v>4.0391399081091978E-3</v>
      </c>
    </row>
    <row r="54" spans="2:18" x14ac:dyDescent="0.25">
      <c r="B54" s="1">
        <v>45848</v>
      </c>
      <c r="C54">
        <f>LN(dane!B50/dane!B49)</f>
        <v>-2.2678840499008399E-2</v>
      </c>
      <c r="D54">
        <f>LN(dane!C50/dane!C49)</f>
        <v>-3.3721501261079007E-2</v>
      </c>
      <c r="E54">
        <f>LN(dane!D50/dane!D49)</f>
        <v>-1.9174917370539044E-2</v>
      </c>
      <c r="F54">
        <f>LN(dane!E50/dane!E49)</f>
        <v>-3.1822033304774053E-2</v>
      </c>
      <c r="G54">
        <f>LN(dane!F50/dane!F49)</f>
        <v>-3.0980115900054873E-2</v>
      </c>
      <c r="P54" s="1">
        <f t="shared" si="0"/>
        <v>45848</v>
      </c>
      <c r="Q54">
        <f t="shared" si="2"/>
        <v>-2.7675481667091075E-2</v>
      </c>
      <c r="R54">
        <f t="shared" si="3"/>
        <v>-2.9580374004988731E-2</v>
      </c>
    </row>
    <row r="55" spans="2:18" x14ac:dyDescent="0.25">
      <c r="B55" s="1">
        <v>45849</v>
      </c>
      <c r="C55">
        <f>LN(dane!B51/dane!B50)</f>
        <v>3.6018328118908602E-3</v>
      </c>
      <c r="D55">
        <f>LN(dane!C51/dane!C50)</f>
        <v>-1.0807890811588346E-3</v>
      </c>
      <c r="E55">
        <f>LN(dane!D51/dane!D50)</f>
        <v>-5.5467654098081956E-3</v>
      </c>
      <c r="F55">
        <f>LN(dane!E51/dane!E50)</f>
        <v>4.942135172955095E-3</v>
      </c>
      <c r="G55">
        <f>LN(dane!F51/dane!F50)</f>
        <v>-2.3337804331133288E-2</v>
      </c>
      <c r="P55" s="1">
        <f t="shared" si="0"/>
        <v>45849</v>
      </c>
      <c r="Q55">
        <f t="shared" si="2"/>
        <v>-4.2842781674508725E-3</v>
      </c>
      <c r="R55">
        <f t="shared" si="3"/>
        <v>-5.3270593980655652E-3</v>
      </c>
    </row>
    <row r="56" spans="2:18" x14ac:dyDescent="0.25">
      <c r="B56" s="1">
        <v>45852</v>
      </c>
      <c r="C56">
        <f>LN(dane!B52/dane!B51)</f>
        <v>3.844078544801149E-3</v>
      </c>
      <c r="D56">
        <f>LN(dane!C52/dane!C51)</f>
        <v>1.102309857612375E-2</v>
      </c>
      <c r="E56">
        <f>LN(dane!D52/dane!D51)</f>
        <v>3.1733465741444027E-3</v>
      </c>
      <c r="F56">
        <f>LN(dane!E52/dane!E51)</f>
        <v>-1.0384216924817153E-3</v>
      </c>
      <c r="G56">
        <f>LN(dane!F52/dane!F51)</f>
        <v>5.3708040691245757E-3</v>
      </c>
      <c r="P56" s="1">
        <f t="shared" si="0"/>
        <v>45852</v>
      </c>
      <c r="Q56">
        <f t="shared" si="2"/>
        <v>4.4745812143424327E-3</v>
      </c>
      <c r="R56">
        <f t="shared" si="3"/>
        <v>2.9999249132516169E-3</v>
      </c>
    </row>
    <row r="57" spans="2:18" x14ac:dyDescent="0.25">
      <c r="B57" s="1">
        <v>45853</v>
      </c>
      <c r="C57">
        <f>LN(dane!B53/dane!B52)</f>
        <v>4.3402899379901688E-3</v>
      </c>
      <c r="D57">
        <f>LN(dane!C53/dane!C52)</f>
        <v>-2.6741543146398912E-4</v>
      </c>
      <c r="E57">
        <f>LN(dane!D53/dane!D52)</f>
        <v>-4.3659525592674719E-3</v>
      </c>
      <c r="F57">
        <f>LN(dane!E53/dane!E52)</f>
        <v>5.1934563618633391E-4</v>
      </c>
      <c r="G57">
        <f>LN(dane!F53/dane!F52)</f>
        <v>-7.0291792419006028E-3</v>
      </c>
      <c r="P57" s="1">
        <f t="shared" si="0"/>
        <v>45853</v>
      </c>
      <c r="Q57">
        <f t="shared" si="2"/>
        <v>-1.3605823316911124E-3</v>
      </c>
      <c r="R57">
        <f t="shared" si="3"/>
        <v>-1.9303233233697763E-3</v>
      </c>
    </row>
    <row r="58" spans="2:18" x14ac:dyDescent="0.25">
      <c r="B58" s="1">
        <v>45854</v>
      </c>
      <c r="C58">
        <f>LN(dane!B54/dane!B53)</f>
        <v>5.0800636464755503E-3</v>
      </c>
      <c r="D58">
        <f>LN(dane!C54/dane!C53)</f>
        <v>9.0522449871969207E-3</v>
      </c>
      <c r="E58">
        <f>LN(dane!D54/dane!D53)</f>
        <v>-1.0999010995399473E-2</v>
      </c>
      <c r="F58">
        <f>LN(dane!E54/dane!E53)</f>
        <v>1.0587574692439618E-2</v>
      </c>
      <c r="G58">
        <f>LN(dane!F54/dane!F53)</f>
        <v>4.9668976283368639E-3</v>
      </c>
      <c r="P58" s="1">
        <f t="shared" si="0"/>
        <v>45854</v>
      </c>
      <c r="Q58">
        <f t="shared" si="2"/>
        <v>3.7375539918098966E-3</v>
      </c>
      <c r="R58">
        <f t="shared" si="3"/>
        <v>6.0384289293042058E-3</v>
      </c>
    </row>
    <row r="59" spans="2:18" x14ac:dyDescent="0.25">
      <c r="B59" s="1">
        <v>45855</v>
      </c>
      <c r="C59">
        <f>LN(dane!B55/dane!B54)</f>
        <v>2.1560615889399826E-2</v>
      </c>
      <c r="D59">
        <f>LN(dane!C55/dane!C54)</f>
        <v>2.2019238243917279E-2</v>
      </c>
      <c r="E59">
        <f>LN(dane!D55/dane!D54)</f>
        <v>2.8740458004995657E-2</v>
      </c>
      <c r="F59">
        <f>LN(dane!E55/dane!E54)</f>
        <v>5.2782039240149708E-2</v>
      </c>
      <c r="G59">
        <f>LN(dane!F55/dane!F54)</f>
        <v>1.6786474007500333E-2</v>
      </c>
      <c r="P59" s="1">
        <f t="shared" si="0"/>
        <v>45855</v>
      </c>
      <c r="Q59">
        <f t="shared" si="2"/>
        <v>2.8377765077192564E-2</v>
      </c>
      <c r="R59">
        <f t="shared" si="3"/>
        <v>3.3380789112141263E-2</v>
      </c>
    </row>
    <row r="60" spans="2:18" x14ac:dyDescent="0.25">
      <c r="B60" s="1">
        <v>45856</v>
      </c>
      <c r="C60">
        <f>LN(dane!B56/dane!B55)</f>
        <v>1.9403559436816441E-2</v>
      </c>
      <c r="D60">
        <f>LN(dane!C56/dane!C55)</f>
        <v>2.5090921993526586E-2</v>
      </c>
      <c r="E60">
        <f>LN(dane!D56/dane!D55)</f>
        <v>1.512536107075598E-2</v>
      </c>
      <c r="F60">
        <f>LN(dane!E56/dane!E55)</f>
        <v>3.9651719372064811E-2</v>
      </c>
      <c r="G60">
        <f>LN(dane!F56/dane!F55)</f>
        <v>1.9898154246793334E-2</v>
      </c>
      <c r="P60" s="1">
        <f t="shared" si="0"/>
        <v>45856</v>
      </c>
      <c r="Q60">
        <f t="shared" si="2"/>
        <v>2.3833943223991433E-2</v>
      </c>
      <c r="R60">
        <f t="shared" si="3"/>
        <v>2.7792118272973829E-2</v>
      </c>
    </row>
    <row r="61" spans="2:18" x14ac:dyDescent="0.25">
      <c r="B61" s="1">
        <v>45859</v>
      </c>
      <c r="C61">
        <f>LN(dane!B57/dane!B56)</f>
        <v>-2.0643770644572977E-2</v>
      </c>
      <c r="D61">
        <f>LN(dane!C57/dane!C56)</f>
        <v>-4.8156220296101723E-3</v>
      </c>
      <c r="E61">
        <f>LN(dane!D57/dane!D56)</f>
        <v>5.7570682900677239E-3</v>
      </c>
      <c r="F61">
        <f>LN(dane!E57/dane!E56)</f>
        <v>-1.0121305655880363E-2</v>
      </c>
      <c r="G61">
        <f>LN(dane!F57/dane!F56)</f>
        <v>-3.4886653873030878E-3</v>
      </c>
      <c r="P61" s="1">
        <f t="shared" si="0"/>
        <v>45859</v>
      </c>
      <c r="Q61">
        <f t="shared" si="2"/>
        <v>-6.6624590854597755E-3</v>
      </c>
      <c r="R61">
        <f t="shared" si="3"/>
        <v>-7.0653543169546138E-3</v>
      </c>
    </row>
    <row r="62" spans="2:18" x14ac:dyDescent="0.25">
      <c r="B62" s="1">
        <v>45860</v>
      </c>
      <c r="C62">
        <f>LN(dane!B58/dane!B57)</f>
        <v>-9.2313266369998016E-3</v>
      </c>
      <c r="D62">
        <f>LN(dane!C58/dane!C57)</f>
        <v>-6.6276051927326865E-3</v>
      </c>
      <c r="E62">
        <f>LN(dane!D58/dane!D57)</f>
        <v>-8.0692080484472406E-3</v>
      </c>
      <c r="F62">
        <f>LN(dane!E58/dane!E57)</f>
        <v>-9.9858176432142086E-3</v>
      </c>
      <c r="G62">
        <f>LN(dane!F58/dane!F57)</f>
        <v>-1.4584115672391379E-2</v>
      </c>
      <c r="P62" s="1">
        <f t="shared" si="0"/>
        <v>45860</v>
      </c>
      <c r="Q62">
        <f t="shared" si="2"/>
        <v>-9.6996146387570634E-3</v>
      </c>
      <c r="R62">
        <f t="shared" si="3"/>
        <v>-1.0762375746821071E-2</v>
      </c>
    </row>
    <row r="63" spans="2:18" x14ac:dyDescent="0.25">
      <c r="B63" s="1">
        <v>45861</v>
      </c>
      <c r="C63">
        <f>LN(dane!B59/dane!B58)</f>
        <v>1.002026972010439E-3</v>
      </c>
      <c r="D63">
        <f>LN(dane!C59/dane!C58)</f>
        <v>8.4044808982158565E-3</v>
      </c>
      <c r="E63">
        <f>LN(dane!D59/dane!D58)</f>
        <v>1.2270092591814401E-2</v>
      </c>
      <c r="F63">
        <f>LN(dane!E59/dane!E58)</f>
        <v>1.3999516810297921E-2</v>
      </c>
      <c r="G63">
        <f>LN(dane!F59/dane!F58)</f>
        <v>1.0126583143861855E-3</v>
      </c>
      <c r="P63" s="1">
        <f t="shared" si="0"/>
        <v>45861</v>
      </c>
      <c r="Q63">
        <f t="shared" si="2"/>
        <v>7.3377551173449606E-3</v>
      </c>
      <c r="R63">
        <f t="shared" si="3"/>
        <v>8.0712642646390935E-3</v>
      </c>
    </row>
    <row r="64" spans="2:18" x14ac:dyDescent="0.25">
      <c r="B64" s="1">
        <v>45862</v>
      </c>
      <c r="C64">
        <f>LN(dane!B60/dane!B59)</f>
        <v>2.9603221952767246E-2</v>
      </c>
      <c r="D64">
        <f>LN(dane!C60/dane!C59)</f>
        <v>2.4302837077568543E-2</v>
      </c>
      <c r="E64">
        <f>LN(dane!D60/dane!D59)</f>
        <v>2.2980856878985573E-2</v>
      </c>
      <c r="F64">
        <f>LN(dane!E60/dane!E59)</f>
        <v>1.3108801947780148E-2</v>
      </c>
      <c r="G64">
        <f>LN(dane!F60/dane!F59)</f>
        <v>3.5789107851585289E-2</v>
      </c>
      <c r="P64" s="1">
        <f t="shared" si="0"/>
        <v>45862</v>
      </c>
      <c r="Q64">
        <f t="shared" si="2"/>
        <v>2.5156965141737365E-2</v>
      </c>
      <c r="R64">
        <f t="shared" si="3"/>
        <v>2.3668944725519784E-2</v>
      </c>
    </row>
    <row r="65" spans="2:18" x14ac:dyDescent="0.25">
      <c r="B65" s="1">
        <v>45863</v>
      </c>
      <c r="C65">
        <f>LN(dane!B61/dane!B60)</f>
        <v>1.2140002272536437E-3</v>
      </c>
      <c r="D65">
        <f>LN(dane!C61/dane!C60)</f>
        <v>2.965894413378248E-3</v>
      </c>
      <c r="E65">
        <f>LN(dane!D61/dane!D60)</f>
        <v>1.1166947000751544E-3</v>
      </c>
      <c r="F65">
        <f>LN(dane!E61/dane!E60)</f>
        <v>1.9574603124629702E-2</v>
      </c>
      <c r="G65">
        <f>LN(dane!F61/dane!F60)</f>
        <v>2.9254043291051359E-3</v>
      </c>
      <c r="P65" s="1">
        <f t="shared" si="0"/>
        <v>45863</v>
      </c>
      <c r="Q65">
        <f t="shared" si="2"/>
        <v>5.5593193588883774E-3</v>
      </c>
      <c r="R65">
        <f t="shared" si="3"/>
        <v>9.2371214826541276E-3</v>
      </c>
    </row>
    <row r="66" spans="2:18" x14ac:dyDescent="0.25">
      <c r="B66" s="1">
        <v>45866</v>
      </c>
      <c r="C66">
        <f>LN(dane!B62/dane!B61)</f>
        <v>-2.4826054456620596E-2</v>
      </c>
      <c r="D66">
        <f>LN(dane!C62/dane!C61)</f>
        <v>-2.4482861638011791E-2</v>
      </c>
      <c r="E66">
        <f>LN(dane!D62/dane!D61)</f>
        <v>-2.1433420602747381E-2</v>
      </c>
      <c r="F66">
        <f>LN(dane!E62/dane!E61)</f>
        <v>-1.4702768874350179E-2</v>
      </c>
      <c r="G66">
        <f>LN(dane!F62/dane!F61)</f>
        <v>-1.8673761297244414E-2</v>
      </c>
      <c r="P66" s="1">
        <f t="shared" si="0"/>
        <v>45866</v>
      </c>
      <c r="Q66">
        <f t="shared" si="2"/>
        <v>-2.0823773373794874E-2</v>
      </c>
      <c r="R66">
        <f t="shared" si="3"/>
        <v>-1.8557469608651372E-2</v>
      </c>
    </row>
    <row r="67" spans="2:18" x14ac:dyDescent="0.25">
      <c r="B67" s="1">
        <v>45867</v>
      </c>
      <c r="C67">
        <f>LN(dane!B63/dane!B62)</f>
        <v>2.093396362533425E-2</v>
      </c>
      <c r="D67">
        <f>LN(dane!C63/dane!C62)</f>
        <v>2.3495207236739299E-2</v>
      </c>
      <c r="E67">
        <f>LN(dane!D63/dane!D62)</f>
        <v>1.733276248005975E-2</v>
      </c>
      <c r="F67">
        <f>LN(dane!E63/dane!E62)</f>
        <v>1.5842370137283811E-2</v>
      </c>
      <c r="G67">
        <f>LN(dane!F63/dane!F62)</f>
        <v>2.1590632592367452E-2</v>
      </c>
      <c r="P67" s="1">
        <f t="shared" si="0"/>
        <v>45867</v>
      </c>
      <c r="Q67">
        <f t="shared" si="2"/>
        <v>1.9838987214356913E-2</v>
      </c>
      <c r="R67">
        <f t="shared" si="3"/>
        <v>1.8990331166837088E-2</v>
      </c>
    </row>
    <row r="68" spans="2:18" x14ac:dyDescent="0.25">
      <c r="B68" s="1">
        <v>45868</v>
      </c>
      <c r="C68">
        <f>LN(dane!B64/dane!B63)</f>
        <v>8.7359982248097576E-3</v>
      </c>
      <c r="D68">
        <f>LN(dane!C64/dane!C63)</f>
        <v>1.0322038069545953E-2</v>
      </c>
      <c r="E68">
        <f>LN(dane!D64/dane!D63)</f>
        <v>3.0533915190843322E-2</v>
      </c>
      <c r="F68">
        <f>LN(dane!E64/dane!E63)</f>
        <v>9.5217223579027593E-3</v>
      </c>
      <c r="G68">
        <f>LN(dane!F64/dane!F63)</f>
        <v>-5.3541135447270297E-3</v>
      </c>
      <c r="P68" s="1">
        <f t="shared" si="0"/>
        <v>45868</v>
      </c>
      <c r="Q68">
        <f t="shared" si="2"/>
        <v>1.0751912059674953E-2</v>
      </c>
      <c r="R68">
        <f t="shared" si="3"/>
        <v>7.1616500282628975E-3</v>
      </c>
    </row>
    <row r="69" spans="2:18" x14ac:dyDescent="0.25">
      <c r="B69" s="1">
        <v>45869</v>
      </c>
      <c r="C69">
        <f>LN(dane!B65/dane!B64)</f>
        <v>-4.8439073935232987E-3</v>
      </c>
      <c r="D69">
        <f>LN(dane!C65/dane!C64)</f>
        <v>9.7751718438734677E-4</v>
      </c>
      <c r="E69">
        <f>LN(dane!D65/dane!D64)</f>
        <v>-4.7212726159218867E-3</v>
      </c>
      <c r="F69">
        <f>LN(dane!E65/dane!E64)</f>
        <v>2.4788745087887714E-3</v>
      </c>
      <c r="G69">
        <f>LN(dane!F65/dane!F64)</f>
        <v>-1.178216869826024E-2</v>
      </c>
      <c r="P69" s="1">
        <f t="shared" si="0"/>
        <v>45869</v>
      </c>
      <c r="Q69">
        <f t="shared" si="2"/>
        <v>-3.5781914029058615E-3</v>
      </c>
      <c r="R69">
        <f t="shared" si="3"/>
        <v>-3.4018670884683475E-3</v>
      </c>
    </row>
    <row r="70" spans="2:18" x14ac:dyDescent="0.25">
      <c r="B70" s="1">
        <v>45870</v>
      </c>
      <c r="C70">
        <f>LN(dane!B66/dane!B65)</f>
        <v>-1.4919855822000755E-2</v>
      </c>
      <c r="D70">
        <f>LN(dane!C66/dane!C65)</f>
        <v>-2.5480661172500849E-2</v>
      </c>
      <c r="E70">
        <f>LN(dane!D66/dane!D65)</f>
        <v>-4.6953482771867366E-2</v>
      </c>
      <c r="F70">
        <f>LN(dane!E66/dane!E65)</f>
        <v>-2.5762281939372959E-2</v>
      </c>
      <c r="G70">
        <f>LN(dane!F66/dane!F65)</f>
        <v>-2.1866978826556801E-2</v>
      </c>
      <c r="P70" s="1">
        <f t="shared" si="0"/>
        <v>45870</v>
      </c>
      <c r="Q70">
        <f t="shared" si="2"/>
        <v>-2.6996652106459747E-2</v>
      </c>
      <c r="R70">
        <f t="shared" si="3"/>
        <v>-2.5600406400353121E-2</v>
      </c>
    </row>
    <row r="71" spans="2:18" x14ac:dyDescent="0.25">
      <c r="B71" s="1">
        <v>45873</v>
      </c>
      <c r="C71">
        <f>LN(dane!B67/dane!B66)</f>
        <v>1.3648505831559769E-2</v>
      </c>
      <c r="D71">
        <f>LN(dane!C67/dane!C66)</f>
        <v>2.1564846085666538E-2</v>
      </c>
      <c r="E71">
        <f>LN(dane!D67/dane!D66)</f>
        <v>2.0019554338482008E-2</v>
      </c>
      <c r="F71">
        <f>LN(dane!E67/dane!E66)</f>
        <v>2.7561248019318786E-2</v>
      </c>
      <c r="G71">
        <f>LN(dane!F67/dane!F66)</f>
        <v>1.2439967807798212E-2</v>
      </c>
      <c r="P71" s="1">
        <f t="shared" ref="P71:P134" si="4">B71</f>
        <v>45873</v>
      </c>
      <c r="Q71">
        <f t="shared" si="2"/>
        <v>1.9046824416565064E-2</v>
      </c>
      <c r="R71">
        <f t="shared" si="3"/>
        <v>2.0279780175637811E-2</v>
      </c>
    </row>
    <row r="72" spans="2:18" x14ac:dyDescent="0.25">
      <c r="B72" s="1">
        <v>45874</v>
      </c>
      <c r="C72">
        <f>LN(dane!B68/dane!B67)</f>
        <v>-3.1331618320368194E-3</v>
      </c>
      <c r="D72">
        <f>LN(dane!C68/dane!C67)</f>
        <v>1.9598242431668866E-3</v>
      </c>
      <c r="E72">
        <f>LN(dane!D68/dane!D67)</f>
        <v>-2.6910852667323015E-2</v>
      </c>
      <c r="F72">
        <f>LN(dane!E68/dane!E67)</f>
        <v>-2.3872908199479334E-2</v>
      </c>
      <c r="G72">
        <f>LN(dane!F68/dane!F67)</f>
        <v>-5.5988948499133308E-3</v>
      </c>
      <c r="P72" s="1">
        <f t="shared" si="4"/>
        <v>45874</v>
      </c>
      <c r="Q72">
        <f t="shared" ref="Q72:Q135" si="5">0.2*(C72+D72+E72+F72+G72)</f>
        <v>-1.1511198661117123E-2</v>
      </c>
      <c r="R72">
        <f t="shared" ref="R72:R135" si="6">$J$12*C72+$K$12*D72+$L$12*E72+$M$12*F72+$N$12*G72</f>
        <v>-1.4037250760385029E-2</v>
      </c>
    </row>
    <row r="73" spans="2:18" x14ac:dyDescent="0.25">
      <c r="B73" s="1">
        <v>45875</v>
      </c>
      <c r="C73">
        <f>LN(dane!B69/dane!B68)</f>
        <v>3.7469099509944231E-2</v>
      </c>
      <c r="D73">
        <f>LN(dane!C69/dane!C68)</f>
        <v>3.9352486540895161E-2</v>
      </c>
      <c r="E73">
        <f>LN(dane!D69/dane!D68)</f>
        <v>3.6216708023439154E-2</v>
      </c>
      <c r="F73">
        <f>LN(dane!E69/dane!E68)</f>
        <v>3.7927796561106016E-2</v>
      </c>
      <c r="G73">
        <f>LN(dane!F69/dane!F68)</f>
        <v>6.885918164718019E-2</v>
      </c>
      <c r="P73" s="1">
        <f t="shared" si="4"/>
        <v>45875</v>
      </c>
      <c r="Q73">
        <f t="shared" si="5"/>
        <v>4.3965054456512949E-2</v>
      </c>
      <c r="R73">
        <f t="shared" si="6"/>
        <v>4.713270252602432E-2</v>
      </c>
    </row>
    <row r="74" spans="2:18" x14ac:dyDescent="0.25">
      <c r="B74" s="1">
        <v>45876</v>
      </c>
      <c r="C74">
        <f>LN(dane!B70/dane!B69)</f>
        <v>2.6104651993726819E-2</v>
      </c>
      <c r="D74">
        <f>LN(dane!C70/dane!C69)</f>
        <v>2.6011684843111737E-2</v>
      </c>
      <c r="E74">
        <f>LN(dane!D70/dane!D69)</f>
        <v>2.4520899206699073E-2</v>
      </c>
      <c r="F74">
        <f>LN(dane!E70/dane!E69)</f>
        <v>4.377730427978066E-2</v>
      </c>
      <c r="G74">
        <f>LN(dane!F70/dane!F69)</f>
        <v>6.4772466629338901E-2</v>
      </c>
      <c r="P74" s="1">
        <f t="shared" si="4"/>
        <v>45876</v>
      </c>
      <c r="Q74">
        <f t="shared" si="5"/>
        <v>3.7037401390531438E-2</v>
      </c>
      <c r="R74">
        <f t="shared" si="6"/>
        <v>4.4606385305067699E-2</v>
      </c>
    </row>
    <row r="75" spans="2:18" x14ac:dyDescent="0.25">
      <c r="B75" s="1">
        <v>45877</v>
      </c>
      <c r="C75">
        <f>LN(dane!B71/dane!B70)</f>
        <v>2.4483103887511511E-2</v>
      </c>
      <c r="D75">
        <f>LN(dane!C71/dane!C70)</f>
        <v>1.8174057692798441E-2</v>
      </c>
      <c r="E75">
        <f>LN(dane!D71/dane!D70)</f>
        <v>2.5697345495284431E-2</v>
      </c>
      <c r="F75">
        <f>LN(dane!E71/dane!E70)</f>
        <v>1.9320214557781861E-2</v>
      </c>
      <c r="G75">
        <f>LN(dane!F71/dane!F70)</f>
        <v>1.3937507843781678E-2</v>
      </c>
      <c r="P75" s="1">
        <f t="shared" si="4"/>
        <v>45877</v>
      </c>
      <c r="Q75">
        <f t="shared" si="5"/>
        <v>2.0322445895431585E-2</v>
      </c>
      <c r="R75">
        <f t="shared" si="6"/>
        <v>1.8744788883806686E-2</v>
      </c>
    </row>
    <row r="76" spans="2:18" x14ac:dyDescent="0.25">
      <c r="B76" s="1">
        <v>45880</v>
      </c>
      <c r="C76">
        <f>LN(dane!B72/dane!B71)</f>
        <v>-7.6923456231556137E-3</v>
      </c>
      <c r="D76">
        <f>LN(dane!C72/dane!C71)</f>
        <v>-1.4056001083880894E-2</v>
      </c>
      <c r="E76">
        <f>LN(dane!D72/dane!D71)</f>
        <v>-6.3626937878287692E-3</v>
      </c>
      <c r="F76">
        <f>LN(dane!E72/dane!E71)</f>
        <v>2.1603555953604824E-2</v>
      </c>
      <c r="G76">
        <f>LN(dane!F72/dane!F71)</f>
        <v>-5.2038278750269982E-3</v>
      </c>
      <c r="P76" s="1">
        <f t="shared" si="4"/>
        <v>45880</v>
      </c>
      <c r="Q76">
        <f t="shared" si="5"/>
        <v>-2.3422624832574908E-3</v>
      </c>
      <c r="R76">
        <f t="shared" si="6"/>
        <v>4.2691699694473026E-3</v>
      </c>
    </row>
    <row r="77" spans="2:18" x14ac:dyDescent="0.25">
      <c r="B77" s="1">
        <v>45881</v>
      </c>
      <c r="C77">
        <f>LN(dane!B73/dane!B72)</f>
        <v>6.0146939414778234E-3</v>
      </c>
      <c r="D77">
        <f>LN(dane!C73/dane!C72)</f>
        <v>3.1912495740635985E-3</v>
      </c>
      <c r="E77">
        <f>LN(dane!D73/dane!D72)</f>
        <v>1.4434329117951091E-2</v>
      </c>
      <c r="F77">
        <f>LN(dane!E73/dane!E72)</f>
        <v>-2.0356234166985914E-4</v>
      </c>
      <c r="G77">
        <f>LN(dane!F73/dane!F72)</f>
        <v>2.1931646622828347E-2</v>
      </c>
      <c r="P77" s="1">
        <f t="shared" si="4"/>
        <v>45881</v>
      </c>
      <c r="Q77">
        <f t="shared" si="5"/>
        <v>9.0736713829301999E-3</v>
      </c>
      <c r="R77">
        <f t="shared" si="6"/>
        <v>8.8620963135298114E-3</v>
      </c>
    </row>
    <row r="78" spans="2:18" x14ac:dyDescent="0.25">
      <c r="B78" s="1">
        <v>45882</v>
      </c>
      <c r="C78">
        <f>LN(dane!B74/dane!B73)</f>
        <v>2.0888487947355532E-2</v>
      </c>
      <c r="D78">
        <f>LN(dane!C74/dane!C73)</f>
        <v>-7.3093061829811196E-3</v>
      </c>
      <c r="E78">
        <f>LN(dane!D74/dane!D73)</f>
        <v>-8.7766053980921892E-3</v>
      </c>
      <c r="F78">
        <f>LN(dane!E74/dane!E73)</f>
        <v>1.2744179765714842E-2</v>
      </c>
      <c r="G78">
        <f>LN(dane!F74/dane!F73)</f>
        <v>1.6999579104486008E-3</v>
      </c>
      <c r="P78" s="1">
        <f t="shared" si="4"/>
        <v>45882</v>
      </c>
      <c r="Q78">
        <f t="shared" si="5"/>
        <v>3.8493428084891328E-3</v>
      </c>
      <c r="R78">
        <f t="shared" si="6"/>
        <v>6.0879169160487391E-3</v>
      </c>
    </row>
    <row r="79" spans="2:18" x14ac:dyDescent="0.25">
      <c r="B79" s="1">
        <v>45883</v>
      </c>
      <c r="C79">
        <f>LN(dane!B75/dane!B74)</f>
        <v>-2.2088536093292834E-2</v>
      </c>
      <c r="D79">
        <f>LN(dane!C75/dane!C74)</f>
        <v>-3.4043856540376054E-2</v>
      </c>
      <c r="E79">
        <f>LN(dane!D75/dane!D74)</f>
        <v>-3.2613533708387231E-2</v>
      </c>
      <c r="F79">
        <f>LN(dane!E75/dane!E74)</f>
        <v>-3.422936997557355E-3</v>
      </c>
      <c r="G79">
        <f>LN(dane!F75/dane!F74)</f>
        <v>-1.7563098696896234E-2</v>
      </c>
      <c r="P79" s="1">
        <f t="shared" si="4"/>
        <v>45883</v>
      </c>
      <c r="Q79">
        <f t="shared" si="5"/>
        <v>-2.1946392407301941E-2</v>
      </c>
      <c r="R79">
        <f t="shared" si="6"/>
        <v>-1.5512697042297425E-2</v>
      </c>
    </row>
    <row r="80" spans="2:18" x14ac:dyDescent="0.25">
      <c r="B80" s="1">
        <v>45887</v>
      </c>
      <c r="C80">
        <f>LN(dane!B76/dane!B75)</f>
        <v>-9.4101309660781403E-3</v>
      </c>
      <c r="D80">
        <f>LN(dane!C76/dane!C75)</f>
        <v>4.2603614736121034E-3</v>
      </c>
      <c r="E80">
        <f>LN(dane!D76/dane!D75)</f>
        <v>-7.3126468462866023E-3</v>
      </c>
      <c r="F80">
        <f>LN(dane!E76/dane!E75)</f>
        <v>1.6122534729761215E-3</v>
      </c>
      <c r="G80">
        <f>LN(dane!F76/dane!F75)</f>
        <v>8.63930939263878E-4</v>
      </c>
      <c r="P80" s="1">
        <f t="shared" si="4"/>
        <v>45887</v>
      </c>
      <c r="Q80">
        <f t="shared" si="5"/>
        <v>-1.9972463853025284E-3</v>
      </c>
      <c r="R80">
        <f t="shared" si="6"/>
        <v>-3.4216096290565201E-4</v>
      </c>
    </row>
    <row r="81" spans="2:18" x14ac:dyDescent="0.25">
      <c r="B81" s="1">
        <v>45888</v>
      </c>
      <c r="C81">
        <f>LN(dane!B77/dane!B76)</f>
        <v>5.3191614776000266E-3</v>
      </c>
      <c r="D81">
        <f>LN(dane!C77/dane!C76)</f>
        <v>7.9981607268336495E-3</v>
      </c>
      <c r="E81">
        <f>LN(dane!D77/dane!D76)</f>
        <v>1.8542614529350857E-2</v>
      </c>
      <c r="F81">
        <f>LN(dane!E77/dane!E76)</f>
        <v>6.8232253481254265E-3</v>
      </c>
      <c r="G81">
        <f>LN(dane!F77/dane!F76)</f>
        <v>9.0264958459721246E-3</v>
      </c>
      <c r="P81" s="1">
        <f t="shared" si="4"/>
        <v>45888</v>
      </c>
      <c r="Q81">
        <f t="shared" si="5"/>
        <v>9.5419315855764172E-3</v>
      </c>
      <c r="R81">
        <f t="shared" si="6"/>
        <v>8.6232325664202612E-3</v>
      </c>
    </row>
    <row r="82" spans="2:18" x14ac:dyDescent="0.25">
      <c r="B82" s="1">
        <v>45889</v>
      </c>
      <c r="C82">
        <f>LN(dane!B78/dane!B77)</f>
        <v>-4.3499343602911205E-3</v>
      </c>
      <c r="D82">
        <f>LN(dane!C78/dane!C77)</f>
        <v>-1.8761731582278519E-3</v>
      </c>
      <c r="E82">
        <f>LN(dane!D78/dane!D77)</f>
        <v>-9.410130966078253E-3</v>
      </c>
      <c r="F82">
        <f>LN(dane!E78/dane!E77)</f>
        <v>-1.4910612735754128E-2</v>
      </c>
      <c r="G82">
        <f>LN(dane!F78/dane!F77)</f>
        <v>1.7101329520529131E-3</v>
      </c>
      <c r="P82" s="1">
        <f t="shared" si="4"/>
        <v>45889</v>
      </c>
      <c r="Q82">
        <f t="shared" si="5"/>
        <v>-5.7673436536596892E-3</v>
      </c>
      <c r="R82">
        <f t="shared" si="6"/>
        <v>-7.0148290571455003E-3</v>
      </c>
    </row>
    <row r="83" spans="2:18" x14ac:dyDescent="0.25">
      <c r="B83" s="1">
        <v>45890</v>
      </c>
      <c r="C83">
        <f>LN(dane!B79/dane!B78)</f>
        <v>1.3949240133053131E-2</v>
      </c>
      <c r="D83">
        <f>LN(dane!C79/dane!C78)</f>
        <v>7.0175726586465398E-3</v>
      </c>
      <c r="E83">
        <f>LN(dane!D79/dane!D78)</f>
        <v>9.7702966461824803E-3</v>
      </c>
      <c r="F83">
        <f>LN(dane!E79/dane!E78)</f>
        <v>1.2507728119443864E-2</v>
      </c>
      <c r="G83">
        <f>LN(dane!F79/dane!F78)</f>
        <v>8.0834305287450746E-3</v>
      </c>
      <c r="P83" s="35">
        <f t="shared" si="4"/>
        <v>45890</v>
      </c>
      <c r="Q83" s="36">
        <f t="shared" si="5"/>
        <v>1.0265653617214219E-2</v>
      </c>
      <c r="R83" s="36">
        <f t="shared" si="6"/>
        <v>1.0501831350189283E-2</v>
      </c>
    </row>
    <row r="84" spans="2:18" x14ac:dyDescent="0.25">
      <c r="B84" s="1">
        <v>45891</v>
      </c>
      <c r="C84">
        <f>LN(dane!B80/dane!B79)</f>
        <v>-0.13043135437220627</v>
      </c>
      <c r="D84">
        <f>LN(dane!C80/dane!C79)</f>
        <v>-0.11918261601080674</v>
      </c>
      <c r="E84">
        <f>LN(dane!D80/dane!D79)</f>
        <v>-8.5670082930684052E-2</v>
      </c>
      <c r="F84">
        <f>LN(dane!E80/dane!E79)</f>
        <v>-8.0978724322740683E-2</v>
      </c>
      <c r="G84">
        <f>LN(dane!F80/dane!F79)</f>
        <v>-9.7855790003758561E-2</v>
      </c>
      <c r="P84" s="1">
        <f t="shared" si="4"/>
        <v>45891</v>
      </c>
      <c r="Q84">
        <f t="shared" si="5"/>
        <v>-0.10282371352803926</v>
      </c>
      <c r="R84">
        <f t="shared" si="6"/>
        <v>-9.5276632061593536E-2</v>
      </c>
    </row>
    <row r="85" spans="2:18" x14ac:dyDescent="0.25">
      <c r="B85" s="1">
        <v>45894</v>
      </c>
      <c r="C85">
        <f>LN(dane!B81/dane!B80)</f>
        <v>1.2976662225779785E-2</v>
      </c>
      <c r="D85">
        <f>LN(dane!C81/dane!C80)</f>
        <v>6.8045276943338485E-3</v>
      </c>
      <c r="E85">
        <f>LN(dane!D81/dane!D80)</f>
        <v>2.5562972122907833E-2</v>
      </c>
      <c r="F85">
        <f>LN(dane!E81/dane!E80)</f>
        <v>1.9589475851271777E-2</v>
      </c>
      <c r="G85">
        <f>LN(dane!F81/dane!F80)</f>
        <v>1.1152531950475107E-2</v>
      </c>
      <c r="P85" s="1">
        <f t="shared" si="4"/>
        <v>45894</v>
      </c>
      <c r="Q85">
        <f t="shared" si="5"/>
        <v>1.5217233968953671E-2</v>
      </c>
      <c r="R85">
        <f t="shared" si="6"/>
        <v>1.5715966129953393E-2</v>
      </c>
    </row>
    <row r="86" spans="2:18" x14ac:dyDescent="0.25">
      <c r="B86" s="1">
        <v>45895</v>
      </c>
      <c r="C86">
        <f>LN(dane!B82/dane!B81)</f>
        <v>-2.1511167208572955E-3</v>
      </c>
      <c r="D86">
        <f>LN(dane!C82/dane!C81)</f>
        <v>-1.304972128295239E-3</v>
      </c>
      <c r="E86">
        <f>LN(dane!D82/dane!D81)</f>
        <v>1.216282572807793E-2</v>
      </c>
      <c r="F86">
        <f>LN(dane!E82/dane!E81)</f>
        <v>4.2544203715830491E-3</v>
      </c>
      <c r="G86">
        <f>LN(dane!F82/dane!F81)</f>
        <v>1.1029523575499604E-2</v>
      </c>
      <c r="P86" s="1">
        <f t="shared" si="4"/>
        <v>45895</v>
      </c>
      <c r="Q86">
        <f t="shared" si="5"/>
        <v>4.7981361652016099E-3</v>
      </c>
      <c r="R86">
        <f t="shared" si="6"/>
        <v>5.8812989091756402E-3</v>
      </c>
    </row>
    <row r="87" spans="2:18" x14ac:dyDescent="0.25">
      <c r="B87" s="1">
        <v>45896</v>
      </c>
      <c r="C87">
        <f>LN(dane!B83/dane!B82)</f>
        <v>-7.0232595551838924E-3</v>
      </c>
      <c r="D87">
        <f>LN(dane!C83/dane!C82)</f>
        <v>-1.3673628764837584E-2</v>
      </c>
      <c r="E87">
        <f>LN(dane!D83/dane!D82)</f>
        <v>-1.9455124403120534E-2</v>
      </c>
      <c r="F87">
        <f>LN(dane!E83/dane!E82)</f>
        <v>-3.6973187664647536E-2</v>
      </c>
      <c r="G87">
        <f>LN(dane!F83/dane!F82)</f>
        <v>-1.8916365663090923E-2</v>
      </c>
      <c r="P87" s="1">
        <f t="shared" si="4"/>
        <v>45896</v>
      </c>
      <c r="Q87">
        <f t="shared" si="5"/>
        <v>-1.9208313210176096E-2</v>
      </c>
      <c r="R87">
        <f t="shared" si="6"/>
        <v>-2.4479386037100492E-2</v>
      </c>
    </row>
    <row r="88" spans="2:18" x14ac:dyDescent="0.25">
      <c r="B88" s="1">
        <v>45897</v>
      </c>
      <c r="C88">
        <f>LN(dane!B84/dane!B83)</f>
        <v>-7.892271201263637E-3</v>
      </c>
      <c r="D88">
        <f>LN(dane!C84/dane!C83)</f>
        <v>-1.44002488397399E-2</v>
      </c>
      <c r="E88">
        <f>LN(dane!D84/dane!D83)</f>
        <v>-1.0065899934715256E-2</v>
      </c>
      <c r="F88">
        <f>LN(dane!E84/dane!E83)</f>
        <v>-6.6298585386696885E-3</v>
      </c>
      <c r="G88">
        <f>LN(dane!F84/dane!F83)</f>
        <v>-1.8648024052039082E-3</v>
      </c>
      <c r="P88" s="1">
        <f t="shared" si="4"/>
        <v>45897</v>
      </c>
      <c r="Q88">
        <f t="shared" si="5"/>
        <v>-8.1706161839184797E-3</v>
      </c>
      <c r="R88">
        <f t="shared" si="6"/>
        <v>-6.447226134600928E-3</v>
      </c>
    </row>
    <row r="89" spans="2:18" x14ac:dyDescent="0.25">
      <c r="B89" s="1">
        <v>45898</v>
      </c>
      <c r="C89">
        <f>LN(dane!B85/dane!B84)</f>
        <v>-3.0515543925950489E-2</v>
      </c>
      <c r="D89">
        <f>LN(dane!C85/dane!C84)</f>
        <v>-1.5701459551965058E-2</v>
      </c>
      <c r="E89">
        <f>LN(dane!D85/dane!D84)</f>
        <v>-1.5686596167699508E-2</v>
      </c>
      <c r="F89">
        <f>LN(dane!E85/dane!E84)</f>
        <v>-2.6740161935006571E-2</v>
      </c>
      <c r="G89">
        <f>LN(dane!F85/dane!F84)</f>
        <v>-3.2727606684104363E-2</v>
      </c>
      <c r="P89" s="1">
        <f t="shared" si="4"/>
        <v>45898</v>
      </c>
      <c r="Q89">
        <f t="shared" si="5"/>
        <v>-2.4274273652945197E-2</v>
      </c>
      <c r="R89">
        <f t="shared" si="6"/>
        <v>-2.6704706743795444E-2</v>
      </c>
    </row>
    <row r="90" spans="2:18" x14ac:dyDescent="0.25">
      <c r="B90" s="1">
        <v>45901</v>
      </c>
      <c r="C90">
        <f>LN(dane!B86/dane!B85)</f>
        <v>-1.2471816988281609E-2</v>
      </c>
      <c r="D90">
        <f>LN(dane!C86/dane!C85)</f>
        <v>-8.4943653646354228E-3</v>
      </c>
      <c r="E90">
        <f>LN(dane!D86/dane!D85)</f>
        <v>-2.6027495244775399E-2</v>
      </c>
      <c r="F90">
        <f>LN(dane!E86/dane!E85)</f>
        <v>-4.7939824720816884E-3</v>
      </c>
      <c r="G90">
        <f>LN(dane!F86/dane!F85)</f>
        <v>-1.1639316657018815E-2</v>
      </c>
      <c r="P90" s="1">
        <f t="shared" si="4"/>
        <v>45901</v>
      </c>
      <c r="Q90">
        <f t="shared" si="5"/>
        <v>-1.2685395345358589E-2</v>
      </c>
      <c r="R90">
        <f t="shared" si="6"/>
        <v>-1.0108755745707564E-2</v>
      </c>
    </row>
    <row r="91" spans="2:18" x14ac:dyDescent="0.25">
      <c r="B91" s="1">
        <v>45902</v>
      </c>
      <c r="C91">
        <f>LN(dane!B87/dane!B86)</f>
        <v>1.4441706467275352E-2</v>
      </c>
      <c r="D91">
        <f>LN(dane!C87/dane!C86)</f>
        <v>6.3091691932647556E-3</v>
      </c>
      <c r="E91">
        <f>LN(dane!D87/dane!D86)</f>
        <v>1.9683302673402264E-2</v>
      </c>
      <c r="F91">
        <f>LN(dane!E87/dane!E86)</f>
        <v>-1.220229253415832E-2</v>
      </c>
      <c r="G91">
        <f>LN(dane!F87/dane!F86)</f>
        <v>4.8661896511729063E-3</v>
      </c>
      <c r="P91" s="1">
        <f t="shared" si="4"/>
        <v>45902</v>
      </c>
      <c r="Q91">
        <f t="shared" si="5"/>
        <v>6.6196150901913931E-3</v>
      </c>
      <c r="R91">
        <f t="shared" si="6"/>
        <v>6.2235771508278121E-4</v>
      </c>
    </row>
    <row r="92" spans="2:18" x14ac:dyDescent="0.25">
      <c r="B92" s="1">
        <v>45903</v>
      </c>
      <c r="C92">
        <f>LN(dane!B88/dane!B87)</f>
        <v>6.7245980499775317E-3</v>
      </c>
      <c r="D92">
        <f>LN(dane!C88/dane!C87)</f>
        <v>-1.0169113329564498E-2</v>
      </c>
      <c r="E92">
        <f>LN(dane!D88/dane!D87)</f>
        <v>-1.1803678107817571E-2</v>
      </c>
      <c r="F92">
        <f>LN(dane!E88/dane!E87)</f>
        <v>-2.783578693646259E-3</v>
      </c>
      <c r="G92">
        <f>LN(dane!F88/dane!F87)</f>
        <v>6.290850652152887E-3</v>
      </c>
      <c r="P92" s="1">
        <f t="shared" si="4"/>
        <v>45903</v>
      </c>
      <c r="Q92">
        <f t="shared" si="5"/>
        <v>-2.348184285779582E-3</v>
      </c>
      <c r="R92">
        <f t="shared" si="6"/>
        <v>-7.509956205530913E-4</v>
      </c>
    </row>
    <row r="93" spans="2:18" x14ac:dyDescent="0.25">
      <c r="B93" s="1">
        <v>45904</v>
      </c>
      <c r="C93">
        <f>LN(dane!B89/dane!B88)</f>
        <v>2.7270661164543821E-2</v>
      </c>
      <c r="D93">
        <f>LN(dane!C89/dane!C88)</f>
        <v>3.8742485773620487E-2</v>
      </c>
      <c r="E93">
        <f>LN(dane!D89/dane!D88)</f>
        <v>9.8128353240471335E-3</v>
      </c>
      <c r="F93">
        <f>LN(dane!E89/dane!E88)</f>
        <v>2.5230696176229226E-2</v>
      </c>
      <c r="G93">
        <f>LN(dane!F89/dane!F88)</f>
        <v>3.0406142883368015E-2</v>
      </c>
      <c r="P93" s="1">
        <f t="shared" si="4"/>
        <v>45904</v>
      </c>
      <c r="Q93">
        <f t="shared" si="5"/>
        <v>2.6292564264361735E-2</v>
      </c>
      <c r="R93">
        <f t="shared" si="6"/>
        <v>2.6796719561723241E-2</v>
      </c>
    </row>
    <row r="94" spans="2:18" x14ac:dyDescent="0.25">
      <c r="B94" s="1">
        <v>45905</v>
      </c>
      <c r="C94">
        <f>LN(dane!B90/dane!B89)</f>
        <v>-3.2309865557140417E-2</v>
      </c>
      <c r="D94">
        <f>LN(dane!C90/dane!C89)</f>
        <v>-4.372726485753594E-2</v>
      </c>
      <c r="E94">
        <f>LN(dane!D90/dane!D89)</f>
        <v>-1.7895320220989951E-2</v>
      </c>
      <c r="F94">
        <f>LN(dane!E90/dane!E89)</f>
        <v>-6.5901840602268008E-3</v>
      </c>
      <c r="G94">
        <f>LN(dane!F90/dane!F89)</f>
        <v>-2.6074006144233428E-2</v>
      </c>
      <c r="P94" s="1">
        <f t="shared" si="4"/>
        <v>45905</v>
      </c>
      <c r="Q94">
        <f t="shared" si="5"/>
        <v>-2.5319328168025308E-2</v>
      </c>
      <c r="R94">
        <f t="shared" si="6"/>
        <v>-1.9851520530927383E-2</v>
      </c>
    </row>
    <row r="95" spans="2:18" x14ac:dyDescent="0.25">
      <c r="B95" s="1">
        <v>45908</v>
      </c>
      <c r="C95">
        <f>LN(dane!B91/dane!B90)</f>
        <v>2.2204631402727729E-2</v>
      </c>
      <c r="D95">
        <f>LN(dane!C91/dane!C90)</f>
        <v>1.6247087384334804E-2</v>
      </c>
      <c r="E95">
        <f>LN(dane!D91/dane!D90)</f>
        <v>2.9387422128900543E-2</v>
      </c>
      <c r="F95">
        <f>LN(dane!E91/dane!E90)</f>
        <v>3.3848350686130228E-2</v>
      </c>
      <c r="G95">
        <f>LN(dane!F91/dane!F90)</f>
        <v>3.120820645384122E-2</v>
      </c>
      <c r="P95" s="1">
        <f t="shared" si="4"/>
        <v>45908</v>
      </c>
      <c r="Q95">
        <f t="shared" si="5"/>
        <v>2.6579139611186908E-2</v>
      </c>
      <c r="R95">
        <f t="shared" si="6"/>
        <v>2.9685716302200765E-2</v>
      </c>
    </row>
    <row r="96" spans="2:18" x14ac:dyDescent="0.25">
      <c r="B96" s="1">
        <v>45909</v>
      </c>
      <c r="C96">
        <f>LN(dane!B92/dane!B91)</f>
        <v>-9.3767923657750926E-3</v>
      </c>
      <c r="D96">
        <f>LN(dane!C92/dane!C91)</f>
        <v>-1.2091381168138392E-2</v>
      </c>
      <c r="E96">
        <f>LN(dane!D92/dane!D91)</f>
        <v>-1.069528911674803E-2</v>
      </c>
      <c r="F96">
        <f>LN(dane!E92/dane!E91)</f>
        <v>-1.7565765718149644E-2</v>
      </c>
      <c r="G96">
        <f>LN(dane!F92/dane!F91)</f>
        <v>-5.1342003096078066E-3</v>
      </c>
      <c r="P96" s="1">
        <f t="shared" si="4"/>
        <v>45909</v>
      </c>
      <c r="Q96">
        <f t="shared" si="5"/>
        <v>-1.0972685735683795E-2</v>
      </c>
      <c r="R96">
        <f t="shared" si="6"/>
        <v>-1.1782912645208352E-2</v>
      </c>
    </row>
    <row r="97" spans="2:18" x14ac:dyDescent="0.25">
      <c r="B97" s="1">
        <v>45910</v>
      </c>
      <c r="C97">
        <f>LN(dane!B93/dane!B92)</f>
        <v>-1.4232136417008273E-2</v>
      </c>
      <c r="D97">
        <f>LN(dane!C93/dane!C92)</f>
        <v>-1.4761443361398029E-2</v>
      </c>
      <c r="E97">
        <f>LN(dane!D93/dane!D92)</f>
        <v>-1.444068415479436E-2</v>
      </c>
      <c r="F97">
        <f>LN(dane!E93/dane!E92)</f>
        <v>-1.5371007876597165E-2</v>
      </c>
      <c r="G97">
        <f>LN(dane!F93/dane!F92)</f>
        <v>-2.4154619758429786E-2</v>
      </c>
      <c r="P97" s="1">
        <f t="shared" si="4"/>
        <v>45910</v>
      </c>
      <c r="Q97">
        <f t="shared" si="5"/>
        <v>-1.6591978313645523E-2</v>
      </c>
      <c r="R97">
        <f t="shared" si="6"/>
        <v>-1.7738215471487868E-2</v>
      </c>
    </row>
    <row r="98" spans="2:18" x14ac:dyDescent="0.25">
      <c r="B98" s="1">
        <v>45911</v>
      </c>
      <c r="C98">
        <f>LN(dane!B94/dane!B93)</f>
        <v>2.0034059033115881E-2</v>
      </c>
      <c r="D98">
        <f>LN(dane!C94/dane!C93)</f>
        <v>1.6418902304377474E-2</v>
      </c>
      <c r="E98">
        <f>LN(dane!D94/dane!D93)</f>
        <v>1.7621601349819629E-2</v>
      </c>
      <c r="F98">
        <f>LN(dane!E94/dane!E93)</f>
        <v>1.9847291089483125E-2</v>
      </c>
      <c r="G98">
        <f>LN(dane!F94/dane!F93)</f>
        <v>3.068449370701232E-2</v>
      </c>
      <c r="P98" s="1">
        <f t="shared" si="4"/>
        <v>45911</v>
      </c>
      <c r="Q98">
        <f t="shared" si="5"/>
        <v>2.0921269496761687E-2</v>
      </c>
      <c r="R98">
        <f t="shared" si="6"/>
        <v>2.2551720816628245E-2</v>
      </c>
    </row>
    <row r="99" spans="2:18" x14ac:dyDescent="0.25">
      <c r="B99" s="1">
        <v>45912</v>
      </c>
      <c r="C99">
        <f>LN(dane!B95/dane!B94)</f>
        <v>-9.9668599153921473E-3</v>
      </c>
      <c r="D99">
        <f>LN(dane!C95/dane!C94)</f>
        <v>-8.5932614729871265E-3</v>
      </c>
      <c r="E99">
        <f>LN(dane!D95/dane!D94)</f>
        <v>-1.3790565310234983E-2</v>
      </c>
      <c r="F99">
        <f>LN(dane!E95/dane!E94)</f>
        <v>-5.3739493413872772E-3</v>
      </c>
      <c r="G99">
        <f>LN(dane!F95/dane!F94)</f>
        <v>-1.4516761601671858E-2</v>
      </c>
      <c r="P99" s="1">
        <f t="shared" si="4"/>
        <v>45912</v>
      </c>
      <c r="Q99">
        <f t="shared" si="5"/>
        <v>-1.0448279528334679E-2</v>
      </c>
      <c r="R99">
        <f t="shared" si="6"/>
        <v>-9.7396768869178942E-3</v>
      </c>
    </row>
    <row r="100" spans="2:18" x14ac:dyDescent="0.25">
      <c r="B100" s="1">
        <v>45915</v>
      </c>
      <c r="C100">
        <f>LN(dane!B96/dane!B95)</f>
        <v>-8.3507311742150696E-4</v>
      </c>
      <c r="D100">
        <f>LN(dane!C96/dane!C95)</f>
        <v>3.3351893061382525E-3</v>
      </c>
      <c r="E100">
        <f>LN(dane!D96/dane!D95)</f>
        <v>1.4980805482489553E-2</v>
      </c>
      <c r="F100">
        <f>LN(dane!E96/dane!E95)</f>
        <v>3.6808563052953609E-2</v>
      </c>
      <c r="G100">
        <f>LN(dane!F96/dane!F95)</f>
        <v>2.8261912358350447E-3</v>
      </c>
      <c r="P100" s="1">
        <f t="shared" si="4"/>
        <v>45915</v>
      </c>
      <c r="Q100">
        <f t="shared" si="5"/>
        <v>1.1423135191998992E-2</v>
      </c>
      <c r="R100">
        <f t="shared" si="6"/>
        <v>1.731937475905259E-2</v>
      </c>
    </row>
    <row r="101" spans="2:18" x14ac:dyDescent="0.25">
      <c r="B101" s="1">
        <v>45916</v>
      </c>
      <c r="C101">
        <f>LN(dane!B97/dane!B96)</f>
        <v>-1.7983063990030617E-2</v>
      </c>
      <c r="D101">
        <f>LN(dane!C97/dane!C96)</f>
        <v>-1.8482744008497823E-2</v>
      </c>
      <c r="E101">
        <f>LN(dane!D97/dane!D96)</f>
        <v>-2.814821946876286E-2</v>
      </c>
      <c r="F101">
        <f>LN(dane!E97/dane!E96)</f>
        <v>-2.4313978373542357E-2</v>
      </c>
      <c r="G101">
        <f>LN(dane!F97/dane!F96)</f>
        <v>-1.89939233411755E-2</v>
      </c>
      <c r="P101" s="1">
        <f t="shared" si="4"/>
        <v>45916</v>
      </c>
      <c r="Q101">
        <f t="shared" si="5"/>
        <v>-2.1584385836401834E-2</v>
      </c>
      <c r="R101">
        <f t="shared" si="6"/>
        <v>-2.1885171098498725E-2</v>
      </c>
    </row>
    <row r="102" spans="2:18" x14ac:dyDescent="0.25">
      <c r="B102" s="1">
        <v>45917</v>
      </c>
      <c r="C102">
        <f>LN(dane!B98/dane!B97)</f>
        <v>-7.9704378683639436E-3</v>
      </c>
      <c r="D102">
        <f>LN(dane!C98/dane!C97)</f>
        <v>2.2586119144227309E-3</v>
      </c>
      <c r="E102">
        <f>LN(dane!D98/dane!D97)</f>
        <v>-4.9059787688544073E-3</v>
      </c>
      <c r="F102">
        <f>LN(dane!E98/dane!E97)</f>
        <v>6.6496733027721652E-4</v>
      </c>
      <c r="G102">
        <f>LN(dane!F98/dane!F97)</f>
        <v>-2.3998091670833668E-3</v>
      </c>
      <c r="P102" s="1">
        <f t="shared" si="4"/>
        <v>45917</v>
      </c>
      <c r="Q102">
        <f t="shared" si="5"/>
        <v>-2.4705293119203545E-3</v>
      </c>
      <c r="R102">
        <f t="shared" si="6"/>
        <v>-1.5157362902936855E-3</v>
      </c>
    </row>
    <row r="103" spans="2:18" x14ac:dyDescent="0.25">
      <c r="B103" s="1">
        <v>45918</v>
      </c>
      <c r="C103">
        <f>LN(dane!B99/dane!B98)</f>
        <v>-8.5775559226198964E-4</v>
      </c>
      <c r="D103">
        <f>LN(dane!C99/dane!C98)</f>
        <v>1.1273958353081857E-3</v>
      </c>
      <c r="E103">
        <f>LN(dane!D99/dane!D98)</f>
        <v>-1.0091734292786179E-2</v>
      </c>
      <c r="F103">
        <f>LN(dane!E99/dane!E98)</f>
        <v>1.9094182650185264E-2</v>
      </c>
      <c r="G103">
        <f>LN(dane!F99/dane!F98)</f>
        <v>6.7050059626036452E-3</v>
      </c>
      <c r="P103" s="1">
        <f t="shared" si="4"/>
        <v>45918</v>
      </c>
      <c r="Q103">
        <f t="shared" si="5"/>
        <v>3.1954189126097857E-3</v>
      </c>
      <c r="R103">
        <f t="shared" si="6"/>
        <v>8.6669654438812013E-3</v>
      </c>
    </row>
    <row r="104" spans="2:18" x14ac:dyDescent="0.25">
      <c r="B104" s="1">
        <v>45919</v>
      </c>
      <c r="C104">
        <f>LN(dane!B100/dane!B99)</f>
        <v>4.2814393930060259E-3</v>
      </c>
      <c r="D104">
        <f>LN(dane!C100/dane!C99)</f>
        <v>6.4579755539484395E-3</v>
      </c>
      <c r="E104">
        <f>LN(dane!D100/dane!D99)</f>
        <v>5.5733450077110301E-3</v>
      </c>
      <c r="F104">
        <f>LN(dane!E100/dane!E99)</f>
        <v>-5.449604767564703E-3</v>
      </c>
      <c r="G104">
        <f>LN(dane!F100/dane!F99)</f>
        <v>2.3837913552761975E-3</v>
      </c>
      <c r="P104" s="1">
        <f t="shared" si="4"/>
        <v>45919</v>
      </c>
      <c r="Q104">
        <f t="shared" si="5"/>
        <v>2.6493893084753983E-3</v>
      </c>
      <c r="R104">
        <f t="shared" si="6"/>
        <v>1.6657149502352772E-4</v>
      </c>
    </row>
    <row r="105" spans="2:18" x14ac:dyDescent="0.25">
      <c r="B105" s="1">
        <v>45922</v>
      </c>
      <c r="C105">
        <f>LN(dane!B101/dane!B100)</f>
        <v>-1.6947123965113581E-2</v>
      </c>
      <c r="D105">
        <f>LN(dane!C101/dane!C100)</f>
        <v>-8.7140396806310461E-3</v>
      </c>
      <c r="E105">
        <f>LN(dane!D101/dane!D100)</f>
        <v>-3.178854027481004E-2</v>
      </c>
      <c r="F105">
        <f>LN(dane!E101/dane!E100)</f>
        <v>-2.9952322283351217E-2</v>
      </c>
      <c r="G105">
        <f>LN(dane!F101/dane!F100)</f>
        <v>-1.8260959134609199E-2</v>
      </c>
      <c r="P105" s="1">
        <f t="shared" si="4"/>
        <v>45922</v>
      </c>
      <c r="Q105">
        <f t="shared" si="5"/>
        <v>-2.113259706770302E-2</v>
      </c>
      <c r="R105">
        <f t="shared" si="6"/>
        <v>-2.3204187045778715E-2</v>
      </c>
    </row>
    <row r="106" spans="2:18" x14ac:dyDescent="0.25">
      <c r="B106" s="1">
        <v>45923</v>
      </c>
      <c r="C106">
        <f>LN(dane!B102/dane!B101)</f>
        <v>4.3358934817048153E-3</v>
      </c>
      <c r="D106">
        <f>LN(dane!C102/dane!C101)</f>
        <v>-8.473379973154959E-4</v>
      </c>
      <c r="E106">
        <f>LN(dane!D102/dane!D101)</f>
        <v>9.9377073267015344E-3</v>
      </c>
      <c r="F106">
        <f>LN(dane!E102/dane!E101)</f>
        <v>1.3200773414901881E-2</v>
      </c>
      <c r="G106">
        <f>LN(dane!F102/dane!F101)</f>
        <v>1.3487680381951429E-2</v>
      </c>
      <c r="P106" s="1">
        <f t="shared" si="4"/>
        <v>45923</v>
      </c>
      <c r="Q106">
        <f t="shared" si="5"/>
        <v>8.0229433215888331E-3</v>
      </c>
      <c r="R106">
        <f t="shared" si="6"/>
        <v>1.0669239761655267E-2</v>
      </c>
    </row>
    <row r="107" spans="2:18" x14ac:dyDescent="0.25">
      <c r="B107" s="1">
        <v>45924</v>
      </c>
      <c r="C107">
        <f>LN(dane!B103/dane!B102)</f>
        <v>1.7291070590503546E-3</v>
      </c>
      <c r="D107">
        <f>LN(dane!C103/dane!C102)</f>
        <v>-5.6529113998269025E-4</v>
      </c>
      <c r="E107">
        <f>LN(dane!D103/dane!D102)</f>
        <v>-1.057539466896143E-2</v>
      </c>
      <c r="F107">
        <f>LN(dane!E103/dane!E102)</f>
        <v>-6.6904799077208161E-3</v>
      </c>
      <c r="G107">
        <f>LN(dane!F103/dane!F102)</f>
        <v>-2.3952107259548219E-3</v>
      </c>
      <c r="P107" s="1">
        <f t="shared" si="4"/>
        <v>45924</v>
      </c>
      <c r="Q107">
        <f t="shared" si="5"/>
        <v>-3.6994538767138813E-3</v>
      </c>
      <c r="R107">
        <f t="shared" si="6"/>
        <v>-4.3359130558641495E-3</v>
      </c>
    </row>
    <row r="108" spans="2:18" x14ac:dyDescent="0.25">
      <c r="B108" s="1">
        <v>45925</v>
      </c>
      <c r="C108">
        <f>LN(dane!B104/dane!B103)</f>
        <v>-1.4501414213888685E-2</v>
      </c>
      <c r="D108">
        <f>LN(dane!C104/dane!C103)</f>
        <v>-2.780743883803655E-2</v>
      </c>
      <c r="E108">
        <f>LN(dane!D104/dane!D103)</f>
        <v>-6.613357436985017E-3</v>
      </c>
      <c r="F108">
        <f>LN(dane!E104/dane!E103)</f>
        <v>-2.8599316398629501E-2</v>
      </c>
      <c r="G108">
        <f>LN(dane!F104/dane!F103)</f>
        <v>-2.2799920450231648E-2</v>
      </c>
      <c r="P108" s="1">
        <f t="shared" si="4"/>
        <v>45925</v>
      </c>
      <c r="Q108">
        <f t="shared" si="5"/>
        <v>-2.0064289467554283E-2</v>
      </c>
      <c r="R108">
        <f t="shared" si="6"/>
        <v>-2.3171923743412322E-2</v>
      </c>
    </row>
    <row r="109" spans="2:18" x14ac:dyDescent="0.25">
      <c r="B109" s="1">
        <v>45926</v>
      </c>
      <c r="C109">
        <f>LN(dane!B105/dane!B104)</f>
        <v>2.9646724427630295E-2</v>
      </c>
      <c r="D109">
        <f>LN(dane!C105/dane!C104)</f>
        <v>2.7241827963229034E-2</v>
      </c>
      <c r="E109">
        <f>LN(dane!D105/dane!D104)</f>
        <v>3.4914166661909676E-2</v>
      </c>
      <c r="F109">
        <f>LN(dane!E105/dane!E104)</f>
        <v>3.8618324842659132E-2</v>
      </c>
      <c r="G109">
        <f>LN(dane!F105/dane!F104)</f>
        <v>1.4613021845649625E-2</v>
      </c>
      <c r="P109" s="1">
        <f t="shared" si="4"/>
        <v>45926</v>
      </c>
      <c r="Q109">
        <f t="shared" si="5"/>
        <v>2.9006813148215557E-2</v>
      </c>
      <c r="R109">
        <f t="shared" si="6"/>
        <v>2.9011508396035442E-2</v>
      </c>
    </row>
    <row r="110" spans="2:18" x14ac:dyDescent="0.25">
      <c r="B110" s="1">
        <v>45929</v>
      </c>
      <c r="C110">
        <f>LN(dane!B106/dane!B105)</f>
        <v>-4.8329873746002262E-3</v>
      </c>
      <c r="D110">
        <f>LN(dane!C106/dane!C105)</f>
        <v>-1.5393690519234178E-2</v>
      </c>
      <c r="E110">
        <f>LN(dane!D106/dane!D105)</f>
        <v>-1.877793544041385E-2</v>
      </c>
      <c r="F110">
        <f>LN(dane!E106/dane!E105)</f>
        <v>-3.1062816190698746E-3</v>
      </c>
      <c r="G110">
        <f>LN(dane!F106/dane!F105)</f>
        <v>-2.4207225570679531E-3</v>
      </c>
      <c r="P110" s="1">
        <f t="shared" si="4"/>
        <v>45929</v>
      </c>
      <c r="Q110">
        <f t="shared" si="5"/>
        <v>-8.9063235020772173E-3</v>
      </c>
      <c r="R110">
        <f t="shared" si="6"/>
        <v>-5.8691907481731621E-3</v>
      </c>
    </row>
    <row r="111" spans="2:18" x14ac:dyDescent="0.25">
      <c r="B111" s="1">
        <v>45930</v>
      </c>
      <c r="C111">
        <f>LN(dane!B107/dane!B106)</f>
        <v>4.2656114728548836E-3</v>
      </c>
      <c r="D111">
        <f>LN(dane!C107/dane!C106)</f>
        <v>3.7276028825627906E-3</v>
      </c>
      <c r="E111">
        <f>LN(dane!D107/dane!D106)</f>
        <v>-4.2211966436245313E-3</v>
      </c>
      <c r="F111">
        <f>LN(dane!E107/dane!E106)</f>
        <v>0</v>
      </c>
      <c r="G111">
        <f>LN(dane!F107/dane!F106)</f>
        <v>-5.3463067805917261E-3</v>
      </c>
      <c r="P111" s="1">
        <f t="shared" si="4"/>
        <v>45930</v>
      </c>
      <c r="Q111">
        <f t="shared" si="5"/>
        <v>-3.1485781375971655E-4</v>
      </c>
      <c r="R111">
        <f t="shared" si="6"/>
        <v>-1.2266902629982034E-3</v>
      </c>
    </row>
    <row r="112" spans="2:18" x14ac:dyDescent="0.25">
      <c r="B112" s="1">
        <v>45931</v>
      </c>
      <c r="C112">
        <f>LN(dane!B108/dane!B107)</f>
        <v>9.882898454122678E-3</v>
      </c>
      <c r="D112">
        <f>LN(dane!C108/dane!C107)</f>
        <v>9.9673329812681871E-3</v>
      </c>
      <c r="E112">
        <f>LN(dane!D108/dane!D107)</f>
        <v>3.123301968993137E-2</v>
      </c>
      <c r="F112">
        <f>LN(dane!E108/dane!E107)</f>
        <v>1.0170328654077521E-2</v>
      </c>
      <c r="G112">
        <f>LN(dane!F108/dane!F107)</f>
        <v>6.3152991044729354E-3</v>
      </c>
      <c r="P112" s="1">
        <f t="shared" si="4"/>
        <v>45931</v>
      </c>
      <c r="Q112">
        <f t="shared" si="5"/>
        <v>1.3513775776774539E-2</v>
      </c>
      <c r="R112">
        <f t="shared" si="6"/>
        <v>1.1071046305505112E-2</v>
      </c>
    </row>
    <row r="113" spans="2:18" x14ac:dyDescent="0.25">
      <c r="B113" s="1">
        <v>45932</v>
      </c>
      <c r="C113">
        <f>LN(dane!B109/dane!B108)</f>
        <v>3.6146851524380123E-2</v>
      </c>
      <c r="D113">
        <f>LN(dane!C109/dane!C108)</f>
        <v>2.6563843487599919E-2</v>
      </c>
      <c r="E113">
        <f>LN(dane!D109/dane!D108)</f>
        <v>6.5386420127005818E-3</v>
      </c>
      <c r="F113">
        <f>LN(dane!E109/dane!E108)</f>
        <v>2.2404417278096018E-2</v>
      </c>
      <c r="G113">
        <f>LN(dane!F109/dane!F108)</f>
        <v>2.3451661035049882E-2</v>
      </c>
      <c r="P113" s="1">
        <f t="shared" si="4"/>
        <v>45932</v>
      </c>
      <c r="Q113">
        <f t="shared" si="5"/>
        <v>2.3021083067565305E-2</v>
      </c>
      <c r="R113">
        <f t="shared" si="6"/>
        <v>2.2922198924221433E-2</v>
      </c>
    </row>
    <row r="114" spans="2:18" x14ac:dyDescent="0.25">
      <c r="B114" s="1">
        <v>45933</v>
      </c>
      <c r="C114">
        <f>LN(dane!B110/dane!B109)</f>
        <v>-1.6273396593752601E-3</v>
      </c>
      <c r="D114">
        <f>LN(dane!C110/dane!C109)</f>
        <v>0</v>
      </c>
      <c r="E114">
        <f>LN(dane!D110/dane!D109)</f>
        <v>1.2212498973593075E-3</v>
      </c>
      <c r="F114">
        <f>LN(dane!E110/dane!E109)</f>
        <v>2.1507689081729501E-4</v>
      </c>
      <c r="G114">
        <f>LN(dane!F110/dane!F109)</f>
        <v>9.4562654800703025E-4</v>
      </c>
      <c r="P114" s="1">
        <f t="shared" si="4"/>
        <v>45933</v>
      </c>
      <c r="Q114">
        <f t="shared" si="5"/>
        <v>1.5092273536167455E-4</v>
      </c>
      <c r="R114">
        <f t="shared" si="6"/>
        <v>3.2910974452743185E-4</v>
      </c>
    </row>
    <row r="115" spans="2:18" x14ac:dyDescent="0.25">
      <c r="B115" s="1">
        <v>45936</v>
      </c>
      <c r="C115">
        <f>LN(dane!B111/dane!B110)</f>
        <v>-5.4436715811766916E-3</v>
      </c>
      <c r="D115">
        <f>LN(dane!C111/dane!C110)</f>
        <v>-1.1377949857915999E-2</v>
      </c>
      <c r="E115">
        <f>LN(dane!D111/dane!D110)</f>
        <v>-1.8684456912839157E-2</v>
      </c>
      <c r="F115">
        <f>LN(dane!E111/dane!E110)</f>
        <v>-2.064168888734326E-2</v>
      </c>
      <c r="G115">
        <f>LN(dane!F111/dane!F110)</f>
        <v>-3.3640846466618191E-2</v>
      </c>
      <c r="P115" s="1">
        <f t="shared" si="4"/>
        <v>45936</v>
      </c>
      <c r="Q115">
        <f t="shared" si="5"/>
        <v>-1.7957722741178662E-2</v>
      </c>
      <c r="R115">
        <f t="shared" si="6"/>
        <v>-2.1899537330115945E-2</v>
      </c>
    </row>
    <row r="116" spans="2:18" x14ac:dyDescent="0.25">
      <c r="B116" s="1">
        <v>45937</v>
      </c>
      <c r="C116">
        <f>LN(dane!B112/dane!B111)</f>
        <v>3.8136793702454263E-3</v>
      </c>
      <c r="D116">
        <f>LN(dane!C112/dane!C111)</f>
        <v>2.4263666191880435E-2</v>
      </c>
      <c r="E116">
        <f>LN(dane!D112/dane!D111)</f>
        <v>8.4615095703817044E-3</v>
      </c>
      <c r="F116">
        <f>LN(dane!E112/dane!E111)</f>
        <v>1.9565841553880102E-2</v>
      </c>
      <c r="G116">
        <f>LN(dane!F112/dane!F111)</f>
        <v>1.6481226183791851E-2</v>
      </c>
      <c r="P116" s="1">
        <f t="shared" si="4"/>
        <v>45937</v>
      </c>
      <c r="Q116">
        <f t="shared" si="5"/>
        <v>1.4517184574035903E-2</v>
      </c>
      <c r="R116">
        <f t="shared" si="6"/>
        <v>1.6424589989940352E-2</v>
      </c>
    </row>
    <row r="117" spans="2:18" x14ac:dyDescent="0.25">
      <c r="B117" s="1">
        <v>45938</v>
      </c>
      <c r="C117">
        <f>LN(dane!B113/dane!B112)</f>
        <v>8.1532821475479233E-4</v>
      </c>
      <c r="D117">
        <f>LN(dane!C113/dane!C112)</f>
        <v>6.7870492647404473E-3</v>
      </c>
      <c r="E117">
        <f>LN(dane!D113/dane!D112)</f>
        <v>2.0548648998628235E-4</v>
      </c>
      <c r="F117">
        <f>LN(dane!E113/dane!E112)</f>
        <v>-1.0822616458151416E-2</v>
      </c>
      <c r="G117">
        <f>LN(dane!F113/dane!F112)</f>
        <v>-7.7220460939102778E-3</v>
      </c>
      <c r="P117" s="1">
        <f t="shared" si="4"/>
        <v>45938</v>
      </c>
      <c r="Q117">
        <f t="shared" si="5"/>
        <v>-2.1473597165160346E-3</v>
      </c>
      <c r="R117">
        <f t="shared" si="6"/>
        <v>-5.8648740144854987E-3</v>
      </c>
    </row>
    <row r="118" spans="2:18" x14ac:dyDescent="0.25">
      <c r="B118" s="1">
        <v>45939</v>
      </c>
      <c r="C118">
        <f>LN(dane!B114/dane!B113)</f>
        <v>-5.9945683598142717E-3</v>
      </c>
      <c r="D118">
        <f>LN(dane!C114/dane!C113)</f>
        <v>-4.3384015985982417E-3</v>
      </c>
      <c r="E118">
        <f>LN(dane!D114/dane!D113)</f>
        <v>-1.2335527879987472E-3</v>
      </c>
      <c r="F118">
        <f>LN(dane!E114/dane!E113)</f>
        <v>2.0463826650537593E-2</v>
      </c>
      <c r="G118">
        <f>LN(dane!F114/dane!F113)</f>
        <v>2.9027596579614102E-3</v>
      </c>
      <c r="P118" s="1">
        <f t="shared" si="4"/>
        <v>45939</v>
      </c>
      <c r="Q118">
        <f t="shared" si="5"/>
        <v>2.3600127124175489E-3</v>
      </c>
      <c r="R118">
        <f t="shared" si="6"/>
        <v>7.8997062829623335E-3</v>
      </c>
    </row>
    <row r="119" spans="2:18" x14ac:dyDescent="0.25">
      <c r="B119" s="1">
        <v>45940</v>
      </c>
      <c r="C119">
        <f>LN(dane!B115/dane!B114)</f>
        <v>1.1142933613108932E-2</v>
      </c>
      <c r="D119">
        <f>LN(dane!C115/dane!C114)</f>
        <v>2.7137058715963258E-3</v>
      </c>
      <c r="E119">
        <f>LN(dane!D115/dane!D114)</f>
        <v>7.5827804666575285E-3</v>
      </c>
      <c r="F119">
        <f>LN(dane!E115/dane!E114)</f>
        <v>-3.4173463415218034E-3</v>
      </c>
      <c r="G119">
        <f>LN(dane!F115/dane!F114)</f>
        <v>9.1368752971510252E-3</v>
      </c>
      <c r="P119" s="1">
        <f t="shared" si="4"/>
        <v>45940</v>
      </c>
      <c r="Q119">
        <f t="shared" si="5"/>
        <v>5.4317897813984028E-3</v>
      </c>
      <c r="R119">
        <f t="shared" si="6"/>
        <v>3.518066047672865E-3</v>
      </c>
    </row>
    <row r="120" spans="2:18" x14ac:dyDescent="0.25">
      <c r="B120" s="1">
        <v>45943</v>
      </c>
      <c r="C120">
        <f>LN(dane!B116/dane!B115)</f>
        <v>5.9283385698801943E-3</v>
      </c>
      <c r="D120">
        <f>LN(dane!C116/dane!C115)</f>
        <v>1.3540963477292301E-3</v>
      </c>
      <c r="E120">
        <f>LN(dane!D116/dane!D115)</f>
        <v>-1.6883250523456093E-2</v>
      </c>
      <c r="F120">
        <f>LN(dane!E116/dane!E115)</f>
        <v>-1.0538865152277603E-2</v>
      </c>
      <c r="G120">
        <f>LN(dane!F116/dane!F115)</f>
        <v>-1.203963495511238E-2</v>
      </c>
      <c r="P120" s="1">
        <f t="shared" si="4"/>
        <v>45943</v>
      </c>
      <c r="Q120">
        <f t="shared" si="5"/>
        <v>-6.4358631426473306E-3</v>
      </c>
      <c r="R120">
        <f t="shared" si="6"/>
        <v>-8.7875181080294233E-3</v>
      </c>
    </row>
    <row r="121" spans="2:18" x14ac:dyDescent="0.25">
      <c r="B121" s="1">
        <v>45944</v>
      </c>
      <c r="C121">
        <f>LN(dane!B117/dane!B116)</f>
        <v>-8.363734172197575E-3</v>
      </c>
      <c r="D121">
        <f>LN(dane!C117/dane!C116)</f>
        <v>-6.7888923336862032E-3</v>
      </c>
      <c r="E121">
        <f>LN(dane!D117/dane!D116)</f>
        <v>8.3022005598905584E-4</v>
      </c>
      <c r="F121">
        <f>LN(dane!E117/dane!E116)</f>
        <v>-9.3407869330847763E-3</v>
      </c>
      <c r="G121">
        <f>LN(dane!F117/dane!F116)</f>
        <v>3.8684767779203319E-3</v>
      </c>
      <c r="P121" s="1">
        <f t="shared" si="4"/>
        <v>45944</v>
      </c>
      <c r="Q121">
        <f t="shared" si="5"/>
        <v>-3.9589433210118338E-3</v>
      </c>
      <c r="R121">
        <f t="shared" si="6"/>
        <v>-4.0080123848472834E-3</v>
      </c>
    </row>
    <row r="122" spans="2:18" x14ac:dyDescent="0.25">
      <c r="B122" s="1">
        <v>45945</v>
      </c>
      <c r="C122">
        <f>LN(dane!B118/dane!B117)</f>
        <v>2.910364268447875E-2</v>
      </c>
      <c r="D122">
        <f>LN(dane!C118/dane!C117)</f>
        <v>1.8626533928497654E-2</v>
      </c>
      <c r="E122">
        <f>LN(dane!D118/dane!D117)</f>
        <v>2.6815648316777185E-2</v>
      </c>
      <c r="F122">
        <f>LN(dane!E118/dane!E117)</f>
        <v>2.4575498494491525E-2</v>
      </c>
      <c r="G122">
        <f>LN(dane!F118/dane!F117)</f>
        <v>2.4786778982455834E-2</v>
      </c>
      <c r="P122" s="1">
        <f t="shared" si="4"/>
        <v>45945</v>
      </c>
      <c r="Q122">
        <f t="shared" si="5"/>
        <v>2.4781620481340194E-2</v>
      </c>
      <c r="R122">
        <f t="shared" si="6"/>
        <v>2.4720815585508718E-2</v>
      </c>
    </row>
    <row r="123" spans="2:18" x14ac:dyDescent="0.25">
      <c r="B123" s="1">
        <v>45946</v>
      </c>
      <c r="C123">
        <f>LN(dane!B119/dane!B118)</f>
        <v>-7.9260652724206029E-3</v>
      </c>
      <c r="D123">
        <f>LN(dane!C119/dane!C118)</f>
        <v>-1.6059960625298372E-3</v>
      </c>
      <c r="E123">
        <f>LN(dane!D119/dane!D118)</f>
        <v>-2.6400796620306807E-2</v>
      </c>
      <c r="F123">
        <f>LN(dane!E119/dane!E118)</f>
        <v>-1.0704448177577906E-2</v>
      </c>
      <c r="G123">
        <f>LN(dane!F119/dane!F118)</f>
        <v>-1.4224990931347326E-2</v>
      </c>
      <c r="P123" s="1">
        <f t="shared" si="4"/>
        <v>45946</v>
      </c>
      <c r="Q123">
        <f t="shared" si="5"/>
        <v>-1.2172459412836496E-2</v>
      </c>
      <c r="R123">
        <f t="shared" si="6"/>
        <v>-1.2142562345961085E-2</v>
      </c>
    </row>
    <row r="124" spans="2:18" x14ac:dyDescent="0.25">
      <c r="B124" s="1">
        <v>45947</v>
      </c>
      <c r="C124">
        <f>LN(dane!B120/dane!B119)</f>
        <v>-1.2545206569339719E-2</v>
      </c>
      <c r="D124">
        <f>LN(dane!C120/dane!C119)</f>
        <v>-9.4200669675136798E-3</v>
      </c>
      <c r="E124">
        <f>LN(dane!D120/dane!D119)</f>
        <v>-4.1485169647030736E-4</v>
      </c>
      <c r="F124">
        <f>LN(dane!E120/dane!E119)</f>
        <v>-1.6931161994508288E-2</v>
      </c>
      <c r="G124">
        <f>LN(dane!F120/dane!F119)</f>
        <v>-1.2494155802162427E-2</v>
      </c>
      <c r="P124" s="1">
        <f t="shared" si="4"/>
        <v>45947</v>
      </c>
      <c r="Q124">
        <f t="shared" si="5"/>
        <v>-1.0361088605998884E-2</v>
      </c>
      <c r="R124">
        <f t="shared" si="6"/>
        <v>-1.2758724061784415E-2</v>
      </c>
    </row>
    <row r="125" spans="2:18" x14ac:dyDescent="0.25">
      <c r="B125" s="1">
        <v>45950</v>
      </c>
      <c r="C125">
        <f>LN(dane!B121/dane!B120)</f>
        <v>1.5458730018216089E-2</v>
      </c>
      <c r="D125">
        <f>LN(dane!C121/dane!C120)</f>
        <v>9.1521500201642118E-3</v>
      </c>
      <c r="E125">
        <f>LN(dane!D121/dane!D120)</f>
        <v>1.8907262782332335E-2</v>
      </c>
      <c r="F125">
        <f>LN(dane!E121/dane!E120)</f>
        <v>3.6117425227995582E-2</v>
      </c>
      <c r="G125">
        <f>LN(dane!F121/dane!F120)</f>
        <v>8.6663999323979227E-3</v>
      </c>
      <c r="P125" s="1">
        <f t="shared" si="4"/>
        <v>45950</v>
      </c>
      <c r="Q125">
        <f t="shared" si="5"/>
        <v>1.7660393596221232E-2</v>
      </c>
      <c r="R125">
        <f t="shared" si="6"/>
        <v>2.1398704352988875E-2</v>
      </c>
    </row>
    <row r="126" spans="2:18" x14ac:dyDescent="0.25">
      <c r="B126" s="1">
        <v>45951</v>
      </c>
      <c r="C126">
        <f>LN(dane!B122/dane!B121)</f>
        <v>-1.3232766255416419E-3</v>
      </c>
      <c r="D126">
        <f>LN(dane!C122/dane!C121)</f>
        <v>4.5448547686775167E-3</v>
      </c>
      <c r="E126">
        <f>LN(dane!D122/dane!D121)</f>
        <v>1.3347013100558983E-2</v>
      </c>
      <c r="F126">
        <f>LN(dane!E122/dane!E121)</f>
        <v>4.6345142990612794E-3</v>
      </c>
      <c r="G126">
        <f>LN(dane!F122/dane!F121)</f>
        <v>1.8052746801111748E-2</v>
      </c>
      <c r="P126" s="1">
        <f t="shared" si="4"/>
        <v>45951</v>
      </c>
      <c r="Q126">
        <f t="shared" si="5"/>
        <v>7.8511704687735783E-3</v>
      </c>
      <c r="R126">
        <f t="shared" si="6"/>
        <v>8.9264888843275225E-3</v>
      </c>
    </row>
    <row r="127" spans="2:18" x14ac:dyDescent="0.25">
      <c r="B127" s="1">
        <v>45952</v>
      </c>
      <c r="C127">
        <f>LN(dane!B123/dane!B122)</f>
        <v>1.341595816031107E-2</v>
      </c>
      <c r="D127">
        <f>LN(dane!C123/dane!C122)</f>
        <v>2.033073326428626E-2</v>
      </c>
      <c r="E127">
        <f>LN(dane!D123/dane!D122)</f>
        <v>1.8312613657691483E-2</v>
      </c>
      <c r="F127">
        <f>LN(dane!E123/dane!E122)</f>
        <v>1.9151293068625848E-2</v>
      </c>
      <c r="G127">
        <f>LN(dane!F123/dane!F122)</f>
        <v>2.2347298691996618E-2</v>
      </c>
      <c r="P127" s="1">
        <f t="shared" si="4"/>
        <v>45952</v>
      </c>
      <c r="Q127">
        <f t="shared" si="5"/>
        <v>1.8711579368582254E-2</v>
      </c>
      <c r="R127">
        <f t="shared" si="6"/>
        <v>1.9570637343278206E-2</v>
      </c>
    </row>
    <row r="128" spans="2:18" x14ac:dyDescent="0.25">
      <c r="B128" s="1">
        <v>45953</v>
      </c>
      <c r="C128">
        <f>LN(dane!B124/dane!B123)</f>
        <v>1.06563711474825E-2</v>
      </c>
      <c r="D128">
        <f>LN(dane!C124/dane!C123)</f>
        <v>5.2137761485267957E-3</v>
      </c>
      <c r="E128">
        <f>LN(dane!D124/dane!D123)</f>
        <v>1.1827322490493941E-3</v>
      </c>
      <c r="F128">
        <f>LN(dane!E124/dane!E123)</f>
        <v>8.8269073575947821E-3</v>
      </c>
      <c r="G128">
        <f>LN(dane!F124/dane!F123)</f>
        <v>-5.0773245469400421E-3</v>
      </c>
      <c r="P128" s="1">
        <f t="shared" si="4"/>
        <v>45953</v>
      </c>
      <c r="Q128">
        <f t="shared" si="5"/>
        <v>4.1604924711426856E-3</v>
      </c>
      <c r="R128">
        <f t="shared" si="6"/>
        <v>3.7128535334617699E-3</v>
      </c>
    </row>
    <row r="129" spans="2:18" x14ac:dyDescent="0.25">
      <c r="B129" s="1">
        <v>45954</v>
      </c>
      <c r="C129">
        <f>LN(dane!B125/dane!B124)</f>
        <v>-3.8855119470273631E-3</v>
      </c>
      <c r="D129">
        <f>LN(dane!C125/dane!C124)</f>
        <v>-5.7366519774332313E-3</v>
      </c>
      <c r="E129">
        <f>LN(dane!D125/dane!D124)</f>
        <v>-4.7393453638966705E-3</v>
      </c>
      <c r="F129">
        <f>LN(dane!E125/dane!E124)</f>
        <v>4.2826617920007281E-3</v>
      </c>
      <c r="G129">
        <f>LN(dane!F125/dane!F124)</f>
        <v>-1.2104430844161074E-2</v>
      </c>
      <c r="P129" s="1">
        <f t="shared" si="4"/>
        <v>45954</v>
      </c>
      <c r="Q129">
        <f t="shared" si="5"/>
        <v>-4.4366556681035224E-3</v>
      </c>
      <c r="R129">
        <f t="shared" si="6"/>
        <v>-3.3544154652837572E-3</v>
      </c>
    </row>
    <row r="130" spans="2:18" x14ac:dyDescent="0.25">
      <c r="B130" s="1">
        <v>45957</v>
      </c>
      <c r="C130">
        <f>LN(dane!B126/dane!B125)</f>
        <v>-5.4652055354064448E-3</v>
      </c>
      <c r="D130">
        <f>LN(dane!C126/dane!C125)</f>
        <v>5.2287582890649662E-4</v>
      </c>
      <c r="E130">
        <f>LN(dane!D126/dane!D125)</f>
        <v>-3.1720883061438789E-3</v>
      </c>
      <c r="F130">
        <f>LN(dane!E126/dane!E125)</f>
        <v>1.2939929846412989E-2</v>
      </c>
      <c r="G130">
        <f>LN(dane!F126/dane!F125)</f>
        <v>8.8599320536088665E-3</v>
      </c>
      <c r="P130" s="1">
        <f t="shared" si="4"/>
        <v>45957</v>
      </c>
      <c r="Q130">
        <f t="shared" si="5"/>
        <v>2.737088777475606E-3</v>
      </c>
      <c r="R130">
        <f t="shared" si="6"/>
        <v>7.0225097533834734E-3</v>
      </c>
    </row>
    <row r="131" spans="2:18" x14ac:dyDescent="0.25">
      <c r="B131" s="1">
        <v>45958</v>
      </c>
      <c r="C131">
        <f>LN(dane!B127/dane!B126)</f>
        <v>2.0917483119661462E-2</v>
      </c>
      <c r="D131">
        <f>LN(dane!C127/dane!C126)</f>
        <v>2.8599140943539235E-2</v>
      </c>
      <c r="E131">
        <f>LN(dane!D127/dane!D126)</f>
        <v>1.771351175977862E-2</v>
      </c>
      <c r="F131">
        <f>LN(dane!E127/dane!E126)</f>
        <v>4.8426593905474463E-2</v>
      </c>
      <c r="G131">
        <f>LN(dane!F127/dane!F126)</f>
        <v>1.5661305825538006E-2</v>
      </c>
      <c r="P131" s="1">
        <f t="shared" si="4"/>
        <v>45958</v>
      </c>
      <c r="Q131">
        <f t="shared" si="5"/>
        <v>2.6263607110798361E-2</v>
      </c>
      <c r="R131">
        <f t="shared" si="6"/>
        <v>3.0792042892149121E-2</v>
      </c>
    </row>
    <row r="132" spans="2:18" x14ac:dyDescent="0.25">
      <c r="B132" s="1">
        <v>45959</v>
      </c>
      <c r="C132">
        <f>LN(dane!B128/dane!B127)</f>
        <v>-5.8951855979206382E-3</v>
      </c>
      <c r="D132">
        <f>LN(dane!C128/dane!C127)</f>
        <v>2.0299423362370229E-3</v>
      </c>
      <c r="E132">
        <f>LN(dane!D128/dane!D127)</f>
        <v>-1.8508108543740014E-2</v>
      </c>
      <c r="F132">
        <f>LN(dane!E128/dane!E127)</f>
        <v>-9.5739595632733264E-4</v>
      </c>
      <c r="G132">
        <f>LN(dane!F128/dane!F127)</f>
        <v>5.4694758045352549E-3</v>
      </c>
      <c r="P132" s="1">
        <f t="shared" si="4"/>
        <v>45959</v>
      </c>
      <c r="Q132">
        <f t="shared" si="5"/>
        <v>-3.5722543914431418E-3</v>
      </c>
      <c r="R132">
        <f t="shared" si="6"/>
        <v>-9.7945082171271998E-4</v>
      </c>
    </row>
    <row r="133" spans="2:18" x14ac:dyDescent="0.25">
      <c r="B133" s="1">
        <v>45960</v>
      </c>
      <c r="C133">
        <f>LN(dane!B129/dane!B128)</f>
        <v>-9.5570919863343391E-3</v>
      </c>
      <c r="D133">
        <f>LN(dane!C129/dane!C128)</f>
        <v>-1.7645260269317717E-2</v>
      </c>
      <c r="E133">
        <f>LN(dane!D129/dane!D128)</f>
        <v>-3.9753528649159105E-4</v>
      </c>
      <c r="F133">
        <f>LN(dane!E129/dane!E128)</f>
        <v>-2.5710851125834024E-2</v>
      </c>
      <c r="G133">
        <f>LN(dane!F129/dane!F128)</f>
        <v>-3.7041271680349097E-2</v>
      </c>
      <c r="P133" s="1">
        <f t="shared" si="4"/>
        <v>45960</v>
      </c>
      <c r="Q133">
        <f t="shared" si="5"/>
        <v>-1.8070402069665353E-2</v>
      </c>
      <c r="R133">
        <f t="shared" si="6"/>
        <v>-2.4156710708652704E-2</v>
      </c>
    </row>
    <row r="134" spans="2:18" x14ac:dyDescent="0.25">
      <c r="B134" s="1">
        <v>45961</v>
      </c>
      <c r="C134">
        <f>LN(dane!B130/dane!B129)</f>
        <v>-1.7806178754608451E-2</v>
      </c>
      <c r="D134">
        <f>LN(dane!C130/dane!C129)</f>
        <v>-2.2701561992056203E-2</v>
      </c>
      <c r="E134">
        <f>LN(dane!D130/dane!D129)</f>
        <v>-3.1915453704051987E-2</v>
      </c>
      <c r="F134">
        <f>LN(dane!E130/dane!E129)</f>
        <v>-3.6327604932415783E-2</v>
      </c>
      <c r="G134">
        <f>LN(dane!F130/dane!F129)</f>
        <v>-3.0167478013101049E-2</v>
      </c>
      <c r="P134" s="1">
        <f t="shared" si="4"/>
        <v>45961</v>
      </c>
      <c r="Q134">
        <f t="shared" si="5"/>
        <v>-2.7783655479246695E-2</v>
      </c>
      <c r="R134">
        <f t="shared" si="6"/>
        <v>-3.082360482196829E-2</v>
      </c>
    </row>
    <row r="135" spans="2:18" x14ac:dyDescent="0.25">
      <c r="B135" s="1">
        <v>45964</v>
      </c>
      <c r="C135">
        <f>LN(dane!B131/dane!B130)</f>
        <v>1.4166029129248523E-2</v>
      </c>
      <c r="D135">
        <f>LN(dane!C131/dane!C130)</f>
        <v>8.6717137816176484E-3</v>
      </c>
      <c r="E135">
        <f>LN(dane!D131/dane!D130)</f>
        <v>1.890876708953998E-2</v>
      </c>
      <c r="F135">
        <f>LN(dane!E131/dane!E130)</f>
        <v>3.3374846881535102E-2</v>
      </c>
      <c r="G135">
        <f>LN(dane!F131/dane!F130)</f>
        <v>1.6393809775676352E-2</v>
      </c>
      <c r="P135" s="1">
        <f t="shared" ref="P135:P198" si="7">B135</f>
        <v>45964</v>
      </c>
      <c r="Q135">
        <f t="shared" si="5"/>
        <v>1.830303333152352E-2</v>
      </c>
      <c r="R135">
        <f t="shared" si="6"/>
        <v>2.2442732685357559E-2</v>
      </c>
    </row>
    <row r="136" spans="2:18" x14ac:dyDescent="0.25">
      <c r="B136" s="1">
        <v>45965</v>
      </c>
      <c r="C136">
        <f>LN(dane!B132/dane!B131)</f>
        <v>-4.6997475538976966E-3</v>
      </c>
      <c r="D136">
        <f>LN(dane!C132/dane!C131)</f>
        <v>2.0909573744734146E-3</v>
      </c>
      <c r="E136">
        <f>LN(dane!D132/dane!D131)</f>
        <v>1.4088761513287604E-3</v>
      </c>
      <c r="F136">
        <f>LN(dane!E132/dane!E131)</f>
        <v>-5.9318018716029638E-3</v>
      </c>
      <c r="G136">
        <f>LN(dane!F132/dane!F131)</f>
        <v>-6.2365277694607689E-3</v>
      </c>
      <c r="P136" s="1">
        <f t="shared" si="7"/>
        <v>45965</v>
      </c>
      <c r="Q136">
        <f t="shared" ref="Q136:Q199" si="8">0.2*(C136+D136+E136+F136+G136)</f>
        <v>-2.673648733831851E-3</v>
      </c>
      <c r="R136">
        <f t="shared" ref="R136:R199" si="9">$J$12*C136+$K$12*D136+$L$12*E136+$M$12*F136+$N$12*G136</f>
        <v>-4.3636704822889684E-3</v>
      </c>
    </row>
    <row r="137" spans="2:18" x14ac:dyDescent="0.25">
      <c r="B137" s="1">
        <v>45966</v>
      </c>
      <c r="C137">
        <f>LN(dane!B133/dane!B132)</f>
        <v>-1.237672151840442E-2</v>
      </c>
      <c r="D137">
        <f>LN(dane!C133/dane!C132)</f>
        <v>-4.4485223171279219E-3</v>
      </c>
      <c r="E137">
        <f>LN(dane!D133/dane!D132)</f>
        <v>-1.23445865913571E-2</v>
      </c>
      <c r="F137">
        <f>LN(dane!E133/dane!E132)</f>
        <v>-1.4482150737692403E-2</v>
      </c>
      <c r="G137">
        <f>LN(dane!F133/dane!F132)</f>
        <v>-1.3566099526718903E-2</v>
      </c>
      <c r="P137" s="1">
        <f t="shared" si="7"/>
        <v>45966</v>
      </c>
      <c r="Q137">
        <f t="shared" si="8"/>
        <v>-1.144361613826015E-2</v>
      </c>
      <c r="R137">
        <f t="shared" si="9"/>
        <v>-1.2779673195781577E-2</v>
      </c>
    </row>
    <row r="138" spans="2:18" x14ac:dyDescent="0.25">
      <c r="B138" s="1">
        <v>45967</v>
      </c>
      <c r="C138">
        <f>LN(dane!B134/dane!B133)</f>
        <v>1.7597302417409144E-2</v>
      </c>
      <c r="D138">
        <f>LN(dane!C134/dane!C133)</f>
        <v>1.638741315309318E-2</v>
      </c>
      <c r="E138">
        <f>LN(dane!D134/dane!D133)</f>
        <v>2.4339932341031822E-2</v>
      </c>
      <c r="F138">
        <f>LN(dane!E134/dane!E133)</f>
        <v>6.0180723255629448E-3</v>
      </c>
      <c r="G138">
        <f>LN(dane!F134/dane!F133)</f>
        <v>4.38063489533559E-3</v>
      </c>
      <c r="P138" s="1">
        <f t="shared" si="7"/>
        <v>45967</v>
      </c>
      <c r="Q138">
        <f t="shared" si="8"/>
        <v>1.3744671026486539E-2</v>
      </c>
      <c r="R138">
        <f t="shared" si="9"/>
        <v>9.5538841899792688E-3</v>
      </c>
    </row>
    <row r="139" spans="2:18" x14ac:dyDescent="0.25">
      <c r="B139" s="1">
        <v>45968</v>
      </c>
      <c r="C139">
        <f>LN(dane!B135/dane!B134)</f>
        <v>-1.9984888111910806E-2</v>
      </c>
      <c r="D139">
        <f>LN(dane!C135/dane!C134)</f>
        <v>-4.6547795449825161E-3</v>
      </c>
      <c r="E139">
        <f>LN(dane!D135/dane!D134)</f>
        <v>2.7783308207265803E-3</v>
      </c>
      <c r="F139">
        <f>LN(dane!E135/dane!E134)</f>
        <v>2.4204688696817359E-2</v>
      </c>
      <c r="G139">
        <f>LN(dane!F135/dane!F134)</f>
        <v>1.0147465667574143E-2</v>
      </c>
      <c r="P139" s="1">
        <f t="shared" si="7"/>
        <v>45968</v>
      </c>
      <c r="Q139">
        <f t="shared" si="8"/>
        <v>2.4981635056449524E-3</v>
      </c>
      <c r="R139">
        <f t="shared" si="9"/>
        <v>1.0539981495382513E-2</v>
      </c>
    </row>
    <row r="140" spans="2:18" x14ac:dyDescent="0.25">
      <c r="B140" s="1">
        <v>45971</v>
      </c>
      <c r="C140">
        <f>LN(dane!B136/dane!B135)</f>
        <v>2.1545762518301238E-2</v>
      </c>
      <c r="D140">
        <f>LN(dane!C136/dane!C135)</f>
        <v>6.201570263281107E-3</v>
      </c>
      <c r="E140">
        <f>LN(dane!D136/dane!D135)</f>
        <v>-1.8400519151698332E-2</v>
      </c>
      <c r="F140">
        <f>LN(dane!E136/dane!E135)</f>
        <v>2.458547547261453E-2</v>
      </c>
      <c r="G140">
        <f>LN(dane!F136/dane!F135)</f>
        <v>-4.8192864359488828E-3</v>
      </c>
      <c r="P140" s="1">
        <f t="shared" si="7"/>
        <v>45971</v>
      </c>
      <c r="Q140">
        <f t="shared" si="8"/>
        <v>5.8226005333099316E-3</v>
      </c>
      <c r="R140">
        <f t="shared" si="9"/>
        <v>9.3230856212495501E-3</v>
      </c>
    </row>
    <row r="141" spans="2:18" x14ac:dyDescent="0.25">
      <c r="B141" s="1">
        <v>45973</v>
      </c>
      <c r="C141">
        <f>LN(dane!B137/dane!B136)</f>
        <v>7.2520390351521772E-3</v>
      </c>
      <c r="D141">
        <f>LN(dane!C137/dane!C136)</f>
        <v>2.3157092555981251E-3</v>
      </c>
      <c r="E141">
        <f>LN(dane!D137/dane!D136)</f>
        <v>2.5509553830804495E-2</v>
      </c>
      <c r="F141">
        <f>LN(dane!E137/dane!E136)</f>
        <v>-4.7630389088141906E-4</v>
      </c>
      <c r="G141">
        <f>LN(dane!F137/dane!F136)</f>
        <v>-4.8320851387166245E-4</v>
      </c>
      <c r="P141" s="1">
        <f t="shared" si="7"/>
        <v>45973</v>
      </c>
      <c r="Q141">
        <f t="shared" si="8"/>
        <v>6.8235579433603439E-3</v>
      </c>
      <c r="R141">
        <f t="shared" si="9"/>
        <v>3.1722461016414141E-3</v>
      </c>
    </row>
    <row r="142" spans="2:18" x14ac:dyDescent="0.25">
      <c r="B142" s="1">
        <v>45974</v>
      </c>
      <c r="C142">
        <f>LN(dane!B138/dane!B137)</f>
        <v>-1.298719552681119E-2</v>
      </c>
      <c r="D142">
        <f>LN(dane!C138/dane!C137)</f>
        <v>-1.5432101828058516E-3</v>
      </c>
      <c r="E142">
        <f>LN(dane!D138/dane!D137)</f>
        <v>-1.3869847864150502E-2</v>
      </c>
      <c r="F142">
        <f>LN(dane!E138/dane!E137)</f>
        <v>1.1369141882623116E-2</v>
      </c>
      <c r="G142">
        <f>LN(dane!F138/dane!F137)</f>
        <v>4.8320851387164229E-4</v>
      </c>
      <c r="P142" s="1">
        <f t="shared" si="7"/>
        <v>45974</v>
      </c>
      <c r="Q142">
        <f t="shared" si="8"/>
        <v>-3.3095806354545574E-3</v>
      </c>
      <c r="R142">
        <f t="shared" si="9"/>
        <v>1.8525939498339852E-3</v>
      </c>
    </row>
    <row r="143" spans="2:18" x14ac:dyDescent="0.25">
      <c r="B143" s="1">
        <v>45975</v>
      </c>
      <c r="C143">
        <f>LN(dane!B139/dane!B138)</f>
        <v>-1.4483465818579714E-2</v>
      </c>
      <c r="D143">
        <f>LN(dane!C139/dane!C138)</f>
        <v>-1.7134375576231639E-2</v>
      </c>
      <c r="E143">
        <f>LN(dane!D139/dane!D138)</f>
        <v>-1.2245460654535752E-2</v>
      </c>
      <c r="F143">
        <f>LN(dane!E139/dane!E138)</f>
        <v>-4.7214440871994438E-3</v>
      </c>
      <c r="G143">
        <f>LN(dane!F139/dane!F138)</f>
        <v>-1.0684900100016267E-2</v>
      </c>
      <c r="P143" s="1">
        <f t="shared" si="7"/>
        <v>45975</v>
      </c>
      <c r="Q143">
        <f t="shared" si="8"/>
        <v>-1.1853929247312565E-2</v>
      </c>
      <c r="R143">
        <f t="shared" si="9"/>
        <v>-9.4803778698193675E-3</v>
      </c>
    </row>
    <row r="144" spans="2:18" x14ac:dyDescent="0.25">
      <c r="B144" s="1">
        <v>45978</v>
      </c>
      <c r="C144">
        <f>LN(dane!B140/dane!B139)</f>
        <v>-8.2568054649428228E-3</v>
      </c>
      <c r="D144">
        <f>LN(dane!C140/dane!C139)</f>
        <v>-2.3594191047695283E-3</v>
      </c>
      <c r="E144">
        <f>LN(dane!D140/dane!D139)</f>
        <v>-6.6876325852851847E-3</v>
      </c>
      <c r="F144">
        <f>LN(dane!E140/dane!E139)</f>
        <v>-9.5102951700569843E-3</v>
      </c>
      <c r="G144">
        <f>LN(dane!F140/dane!F139)</f>
        <v>-1.3766195764147959E-2</v>
      </c>
      <c r="P144" s="1">
        <f t="shared" si="7"/>
        <v>45978</v>
      </c>
      <c r="Q144">
        <f t="shared" si="8"/>
        <v>-8.1160696178404958E-3</v>
      </c>
      <c r="R144">
        <f t="shared" si="9"/>
        <v>-9.6643625127669358E-3</v>
      </c>
    </row>
    <row r="145" spans="2:18" x14ac:dyDescent="0.25">
      <c r="B145" s="1">
        <v>45979</v>
      </c>
      <c r="C145">
        <f>LN(dane!B141/dane!B140)</f>
        <v>-1.6449069812847262E-2</v>
      </c>
      <c r="D145">
        <f>LN(dane!C141/dane!C140)</f>
        <v>-1.5073668985725767E-2</v>
      </c>
      <c r="E145">
        <f>LN(dane!D141/dane!D140)</f>
        <v>-1.619385598281934E-2</v>
      </c>
      <c r="F145">
        <f>LN(dane!E141/dane!E140)</f>
        <v>-1.9296305427066181E-2</v>
      </c>
      <c r="G145">
        <f>LN(dane!F141/dane!F140)</f>
        <v>-1.4360039341868209E-2</v>
      </c>
      <c r="P145" s="1">
        <f t="shared" si="7"/>
        <v>45979</v>
      </c>
      <c r="Q145">
        <f t="shared" si="8"/>
        <v>-1.627458791006535E-2</v>
      </c>
      <c r="R145">
        <f t="shared" si="9"/>
        <v>-1.6798193451526174E-2</v>
      </c>
    </row>
    <row r="146" spans="2:18" x14ac:dyDescent="0.25">
      <c r="B146" s="1">
        <v>45980</v>
      </c>
      <c r="C146">
        <f>LN(dane!B142/dane!B141)</f>
        <v>2.4705875277790161E-2</v>
      </c>
      <c r="D146">
        <f>LN(dane!C142/dane!C141)</f>
        <v>3.1732044831920325E-2</v>
      </c>
      <c r="E146">
        <f>LN(dane!D142/dane!D141)</f>
        <v>2.8721803225380049E-2</v>
      </c>
      <c r="F146">
        <f>LN(dane!E142/dane!E141)</f>
        <v>1.3546409374700816E-2</v>
      </c>
      <c r="G146">
        <f>LN(dane!F142/dane!F141)</f>
        <v>3.20248755216734E-2</v>
      </c>
      <c r="P146" s="1">
        <f t="shared" si="7"/>
        <v>45980</v>
      </c>
      <c r="Q146">
        <f t="shared" si="8"/>
        <v>2.6146201646292951E-2</v>
      </c>
      <c r="R146">
        <f t="shared" si="9"/>
        <v>2.35419987398914E-2</v>
      </c>
    </row>
    <row r="147" spans="2:18" x14ac:dyDescent="0.25">
      <c r="B147" s="1">
        <v>45981</v>
      </c>
      <c r="C147">
        <f>LN(dane!B143/dane!B142)</f>
        <v>-1.061571224958857E-3</v>
      </c>
      <c r="D147">
        <f>LN(dane!C143/dane!C142)</f>
        <v>-2.0671841986648312E-3</v>
      </c>
      <c r="E147">
        <f>LN(dane!D143/dane!D142)</f>
        <v>6.0222826270591909E-4</v>
      </c>
      <c r="F147">
        <f>LN(dane!E143/dane!E142)</f>
        <v>-8.6873133223825724E-3</v>
      </c>
      <c r="G147">
        <f>LN(dane!F143/dane!F142)</f>
        <v>-6.8326278504448369E-3</v>
      </c>
      <c r="P147" s="1">
        <f t="shared" si="7"/>
        <v>45981</v>
      </c>
      <c r="Q147">
        <f t="shared" si="8"/>
        <v>-3.6092936667490362E-3</v>
      </c>
      <c r="R147">
        <f t="shared" si="9"/>
        <v>-5.7773664001782576E-3</v>
      </c>
    </row>
    <row r="148" spans="2:18" x14ac:dyDescent="0.25">
      <c r="B148" s="1">
        <v>45982</v>
      </c>
      <c r="C148">
        <f>LN(dane!B144/dane!B143)</f>
        <v>-2.0929124540613082E-2</v>
      </c>
      <c r="D148">
        <f>LN(dane!C144/dane!C143)</f>
        <v>-8.0509459669196558E-3</v>
      </c>
      <c r="E148">
        <f>LN(dane!D144/dane!D143)</f>
        <v>-1.5369362191501186E-2</v>
      </c>
      <c r="F148">
        <f>LN(dane!E144/dane!E143)</f>
        <v>-1.3174135400838448E-2</v>
      </c>
      <c r="G148">
        <f>LN(dane!F144/dane!F143)</f>
        <v>-2.0782539182528391E-2</v>
      </c>
      <c r="P148" s="1">
        <f t="shared" si="7"/>
        <v>45982</v>
      </c>
      <c r="Q148">
        <f t="shared" si="8"/>
        <v>-1.5661221456480152E-2</v>
      </c>
      <c r="R148">
        <f t="shared" si="9"/>
        <v>-1.5939359184997288E-2</v>
      </c>
    </row>
    <row r="149" spans="2:18" x14ac:dyDescent="0.25">
      <c r="B149" s="1">
        <v>45985</v>
      </c>
      <c r="C149">
        <f>LN(dane!B145/dane!B144)</f>
        <v>7.0251572361665323E-3</v>
      </c>
      <c r="D149">
        <f>LN(dane!C145/dane!C144)</f>
        <v>0</v>
      </c>
      <c r="E149">
        <f>LN(dane!D145/dane!D144)</f>
        <v>2.6457733964505032E-3</v>
      </c>
      <c r="F149">
        <f>LN(dane!E145/dane!E144)</f>
        <v>1.0747538723581534E-2</v>
      </c>
      <c r="G149">
        <f>LN(dane!F145/dane!F144)</f>
        <v>5.4849302305697454E-3</v>
      </c>
      <c r="P149" s="1">
        <f t="shared" si="7"/>
        <v>45985</v>
      </c>
      <c r="Q149">
        <f t="shared" si="8"/>
        <v>5.1806799173536641E-3</v>
      </c>
      <c r="R149">
        <f t="shared" si="9"/>
        <v>6.911587621865241E-3</v>
      </c>
    </row>
    <row r="150" spans="2:18" x14ac:dyDescent="0.25">
      <c r="B150" s="1">
        <v>45986</v>
      </c>
      <c r="C150">
        <f>LN(dane!B146/dane!B145)</f>
        <v>3.4143848652192874E-2</v>
      </c>
      <c r="D150">
        <f>LN(dane!C146/dane!C145)</f>
        <v>3.8116904903132159E-2</v>
      </c>
      <c r="E150">
        <f>LN(dane!D146/dane!D145)</f>
        <v>3.6324089215402797E-2</v>
      </c>
      <c r="F150">
        <f>LN(dane!E146/dane!E145)</f>
        <v>-2.0619287202735703E-2</v>
      </c>
      <c r="G150">
        <f>LN(dane!F146/dane!F145)</f>
        <v>2.6013736828801298E-2</v>
      </c>
      <c r="P150" s="1">
        <f t="shared" si="7"/>
        <v>45986</v>
      </c>
      <c r="Q150">
        <f t="shared" si="8"/>
        <v>2.2795858479358687E-2</v>
      </c>
      <c r="R150">
        <f t="shared" si="9"/>
        <v>1.041489044461889E-2</v>
      </c>
    </row>
    <row r="151" spans="2:18" x14ac:dyDescent="0.25">
      <c r="B151" s="1">
        <v>45987</v>
      </c>
      <c r="C151">
        <f>LN(dane!B147/dane!B146)</f>
        <v>1.2155846047647908E-2</v>
      </c>
      <c r="D151">
        <f>LN(dane!C147/dane!C146)</f>
        <v>8.4979266703909765E-3</v>
      </c>
      <c r="E151">
        <f>LN(dane!D147/dane!D146)</f>
        <v>1.1303959773851726E-2</v>
      </c>
      <c r="F151">
        <f>LN(dane!E147/dane!E146)</f>
        <v>3.4133006369458617E-2</v>
      </c>
      <c r="G151">
        <f>LN(dane!F147/dane!F146)</f>
        <v>1.0602508959264421E-2</v>
      </c>
      <c r="P151" s="1">
        <f t="shared" si="7"/>
        <v>45987</v>
      </c>
      <c r="Q151">
        <f t="shared" si="8"/>
        <v>1.5338649564122731E-2</v>
      </c>
      <c r="R151">
        <f t="shared" si="9"/>
        <v>2.0029728484751833E-2</v>
      </c>
    </row>
    <row r="152" spans="2:18" x14ac:dyDescent="0.25">
      <c r="B152" s="1">
        <v>45988</v>
      </c>
      <c r="C152">
        <f>LN(dane!B148/dane!B147)</f>
        <v>1.0277493196530732E-3</v>
      </c>
      <c r="D152">
        <f>LN(dane!C148/dane!C147)</f>
        <v>0</v>
      </c>
      <c r="E152">
        <f>LN(dane!D148/dane!D147)</f>
        <v>3.8684767779203319E-3</v>
      </c>
      <c r="F152">
        <f>LN(dane!E148/dane!E147)</f>
        <v>-8.6663999323980251E-3</v>
      </c>
      <c r="G152">
        <f>LN(dane!F148/dane!F147)</f>
        <v>-3.3613477027047717E-3</v>
      </c>
      <c r="P152" s="1">
        <f t="shared" si="7"/>
        <v>45988</v>
      </c>
      <c r="Q152">
        <f t="shared" si="8"/>
        <v>-1.4263043075058784E-3</v>
      </c>
      <c r="R152">
        <f t="shared" si="9"/>
        <v>-3.9853416740133017E-3</v>
      </c>
    </row>
    <row r="153" spans="2:18" x14ac:dyDescent="0.25">
      <c r="B153" s="1">
        <v>45989</v>
      </c>
      <c r="C153">
        <f>LN(dane!B149/dane!B148)</f>
        <v>-6.1823999083174281E-3</v>
      </c>
      <c r="D153">
        <f>LN(dane!C149/dane!C148)</f>
        <v>-4.7399365280614029E-3</v>
      </c>
      <c r="E153">
        <f>LN(dane!D149/dane!D148)</f>
        <v>-5.8083415957469022E-3</v>
      </c>
      <c r="F153">
        <f>LN(dane!E149/dane!E148)</f>
        <v>-7.767029337659547E-3</v>
      </c>
      <c r="G153">
        <f>LN(dane!F149/dane!F148)</f>
        <v>-4.8216101124699028E-3</v>
      </c>
      <c r="P153" s="1">
        <f t="shared" si="7"/>
        <v>45989</v>
      </c>
      <c r="Q153">
        <f t="shared" si="8"/>
        <v>-5.8638634964510369E-3</v>
      </c>
      <c r="R153">
        <f t="shared" si="9"/>
        <v>-6.2263625720173641E-3</v>
      </c>
    </row>
    <row r="154" spans="2:18" x14ac:dyDescent="0.25">
      <c r="B154" s="1">
        <v>45992</v>
      </c>
      <c r="C154">
        <f>LN(dane!B150/dane!B149)</f>
        <v>8.2347351592291038E-3</v>
      </c>
      <c r="D154">
        <f>LN(dane!C150/dane!C149)</f>
        <v>-2.5037569414117903E-3</v>
      </c>
      <c r="E154">
        <f>LN(dane!D150/dane!D149)</f>
        <v>-6.6238309590484863E-3</v>
      </c>
      <c r="F154">
        <f>LN(dane!E150/dane!E149)</f>
        <v>-5.8651194523981339E-3</v>
      </c>
      <c r="G154">
        <f>LN(dane!F150/dane!F149)</f>
        <v>1.391911121069944E-2</v>
      </c>
      <c r="P154" s="1">
        <f t="shared" si="7"/>
        <v>45992</v>
      </c>
      <c r="Q154">
        <f t="shared" si="8"/>
        <v>1.4322278034140268E-3</v>
      </c>
      <c r="R154">
        <f t="shared" si="9"/>
        <v>1.7404003081274611E-3</v>
      </c>
    </row>
    <row r="155" spans="2:18" x14ac:dyDescent="0.25">
      <c r="B155" s="1">
        <v>45993</v>
      </c>
      <c r="C155">
        <f>LN(dane!B151/dane!B150)</f>
        <v>-1.4715639243312187E-2</v>
      </c>
      <c r="D155">
        <f>LN(dane!C151/dane!C150)</f>
        <v>-1.3121560961669039E-2</v>
      </c>
      <c r="E155">
        <f>LN(dane!D151/dane!D150)</f>
        <v>-6.0221556068512573E-2</v>
      </c>
      <c r="F155">
        <f>LN(dane!E151/dane!E150)</f>
        <v>-7.874056430905883E-3</v>
      </c>
      <c r="G155">
        <f>LN(dane!F151/dane!F150)</f>
        <v>-2.6075837632647508E-2</v>
      </c>
      <c r="P155" s="1">
        <f t="shared" si="7"/>
        <v>45993</v>
      </c>
      <c r="Q155">
        <f t="shared" si="8"/>
        <v>-2.4401730067409439E-2</v>
      </c>
      <c r="R155">
        <f t="shared" si="9"/>
        <v>-1.9778249489505986E-2</v>
      </c>
    </row>
    <row r="156" spans="2:18" x14ac:dyDescent="0.25">
      <c r="B156" s="1">
        <v>45994</v>
      </c>
      <c r="C156">
        <f>LN(dane!B152/dane!B151)</f>
        <v>7.7720598477028892E-3</v>
      </c>
      <c r="D156">
        <f>LN(dane!C152/dane!C151)</f>
        <v>-2.5403277159341168E-4</v>
      </c>
      <c r="E156">
        <f>LN(dane!D152/dane!D151)</f>
        <v>6.2260041442525524E-4</v>
      </c>
      <c r="F156">
        <f>LN(dane!E152/dane!E151)</f>
        <v>-1.1928570865273845E-2</v>
      </c>
      <c r="G156">
        <f>LN(dane!F152/dane!F151)</f>
        <v>-5.3961376952483776E-3</v>
      </c>
      <c r="P156" s="1">
        <f t="shared" si="7"/>
        <v>45994</v>
      </c>
      <c r="Q156">
        <f t="shared" si="8"/>
        <v>-1.8368162139974983E-3</v>
      </c>
      <c r="R156">
        <f t="shared" si="9"/>
        <v>-5.5762069056305786E-3</v>
      </c>
    </row>
    <row r="157" spans="2:18" x14ac:dyDescent="0.25">
      <c r="B157" s="1">
        <v>45995</v>
      </c>
      <c r="C157">
        <f>LN(dane!B153/dane!B152)</f>
        <v>2.0623879442199294E-3</v>
      </c>
      <c r="D157">
        <f>LN(dane!C153/dane!C152)</f>
        <v>6.0790460763821925E-3</v>
      </c>
      <c r="E157">
        <f>LN(dane!D153/dane!D152)</f>
        <v>0</v>
      </c>
      <c r="F157">
        <f>LN(dane!E153/dane!E152)</f>
        <v>6.9756137364251382E-3</v>
      </c>
      <c r="G157">
        <f>LN(dane!F153/dane!F152)</f>
        <v>3.4372732099152842E-3</v>
      </c>
      <c r="P157" s="1">
        <f t="shared" si="7"/>
        <v>45995</v>
      </c>
      <c r="Q157">
        <f t="shared" si="8"/>
        <v>3.7108641933885095E-3</v>
      </c>
      <c r="R157">
        <f t="shared" si="9"/>
        <v>4.6355708596048529E-3</v>
      </c>
    </row>
    <row r="158" spans="2:18" x14ac:dyDescent="0.25">
      <c r="B158" s="1">
        <v>45996</v>
      </c>
      <c r="C158">
        <f>LN(dane!B154/dane!B153)</f>
        <v>-4.3876699633911718E-3</v>
      </c>
      <c r="D158">
        <f>LN(dane!C154/dane!C153)</f>
        <v>-1.1173300598125189E-2</v>
      </c>
      <c r="E158">
        <f>LN(dane!D154/dane!D153)</f>
        <v>-6.2435166396850473E-3</v>
      </c>
      <c r="F158">
        <f>LN(dane!E154/dane!E153)</f>
        <v>-4.4787335378380947E-3</v>
      </c>
      <c r="G158">
        <f>LN(dane!F154/dane!F153)</f>
        <v>1.9588644853329716E-3</v>
      </c>
      <c r="P158" s="1">
        <f t="shared" si="7"/>
        <v>45996</v>
      </c>
      <c r="Q158">
        <f t="shared" si="8"/>
        <v>-4.864871250741306E-3</v>
      </c>
      <c r="R158">
        <f t="shared" si="9"/>
        <v>-3.3842827896554874E-3</v>
      </c>
    </row>
    <row r="159" spans="2:18" x14ac:dyDescent="0.25">
      <c r="B159" s="1">
        <v>45999</v>
      </c>
      <c r="C159">
        <f>LN(dane!B155/dane!B154)</f>
        <v>6.9596878421796793E-3</v>
      </c>
      <c r="D159">
        <f>LN(dane!C155/dane!C154)</f>
        <v>1.2435130418547234E-2</v>
      </c>
      <c r="E159">
        <f>LN(dane!D155/dane!D154)</f>
        <v>1.0177676388357553E-2</v>
      </c>
      <c r="F159">
        <f>LN(dane!E155/dane!E154)</f>
        <v>-1.497379865503617E-3</v>
      </c>
      <c r="G159">
        <f>LN(dane!F155/dane!F154)</f>
        <v>7.7973104600317106E-3</v>
      </c>
      <c r="P159" s="1">
        <f t="shared" si="7"/>
        <v>45999</v>
      </c>
      <c r="Q159">
        <f t="shared" si="8"/>
        <v>7.1744850487225125E-3</v>
      </c>
      <c r="R159">
        <f t="shared" si="9"/>
        <v>4.6974906567165131E-3</v>
      </c>
    </row>
    <row r="160" spans="2:18" x14ac:dyDescent="0.25">
      <c r="B160" s="1">
        <v>46000</v>
      </c>
      <c r="C160">
        <f>LN(dane!B156/dane!B155)</f>
        <v>2.7114292491572024E-2</v>
      </c>
      <c r="D160">
        <f>LN(dane!C156/dane!C155)</f>
        <v>2.1704731299625506E-2</v>
      </c>
      <c r="E160">
        <f>LN(dane!D156/dane!D155)</f>
        <v>2.0657243388649632E-2</v>
      </c>
      <c r="F160">
        <f>LN(dane!E156/dane!E155)</f>
        <v>8.9508305200845777E-3</v>
      </c>
      <c r="G160">
        <f>LN(dane!F156/dane!F155)</f>
        <v>2.6348829696751678E-2</v>
      </c>
      <c r="P160" s="1">
        <f t="shared" si="7"/>
        <v>46000</v>
      </c>
      <c r="Q160">
        <f t="shared" si="8"/>
        <v>2.0955185479336683E-2</v>
      </c>
      <c r="R160">
        <f t="shared" si="9"/>
        <v>1.8432607835044051E-2</v>
      </c>
    </row>
    <row r="161" spans="2:18" x14ac:dyDescent="0.25">
      <c r="B161" s="1">
        <v>46001</v>
      </c>
      <c r="C161">
        <f>LN(dane!B157/dane!B156)</f>
        <v>6.2305497506361628E-3</v>
      </c>
      <c r="D161">
        <f>LN(dane!C157/dane!C156)</f>
        <v>3.9408917998766269E-3</v>
      </c>
      <c r="E161">
        <f>LN(dane!D157/dane!D156)</f>
        <v>7.0600394107248835E-3</v>
      </c>
      <c r="F161">
        <f>LN(dane!E157/dane!E156)</f>
        <v>0</v>
      </c>
      <c r="G161">
        <f>LN(dane!F157/dane!F156)</f>
        <v>-1.8930436320577372E-3</v>
      </c>
      <c r="P161" s="1">
        <f t="shared" si="7"/>
        <v>46001</v>
      </c>
      <c r="Q161">
        <f t="shared" si="8"/>
        <v>3.0676874658359873E-3</v>
      </c>
      <c r="R161">
        <f t="shared" si="9"/>
        <v>1.1552350065064461E-3</v>
      </c>
    </row>
    <row r="162" spans="2:18" x14ac:dyDescent="0.25">
      <c r="B162" s="1">
        <v>46002</v>
      </c>
      <c r="C162">
        <f>LN(dane!B158/dane!B157)</f>
        <v>1.087235814902607E-2</v>
      </c>
      <c r="D162">
        <f>LN(dane!C158/dane!C157)</f>
        <v>1.7544309650909525E-2</v>
      </c>
      <c r="E162">
        <f>LN(dane!D158/dane!D157)</f>
        <v>2.794751310604016E-2</v>
      </c>
      <c r="F162">
        <f>LN(dane!E158/dane!E157)</f>
        <v>4.4455494305643021E-3</v>
      </c>
      <c r="G162">
        <f>LN(dane!F158/dane!F157)</f>
        <v>2.0164809868013327E-2</v>
      </c>
      <c r="P162" s="1">
        <f t="shared" si="7"/>
        <v>46002</v>
      </c>
      <c r="Q162">
        <f t="shared" si="8"/>
        <v>1.6194908040910679E-2</v>
      </c>
      <c r="R162">
        <f t="shared" si="9"/>
        <v>1.3464080823227295E-2</v>
      </c>
    </row>
    <row r="163" spans="2:18" x14ac:dyDescent="0.25">
      <c r="B163" s="1">
        <v>46003</v>
      </c>
      <c r="C163">
        <f>LN(dane!B159/dane!B158)</f>
        <v>-2.2142954059115273E-3</v>
      </c>
      <c r="D163">
        <f>LN(dane!C159/dane!C158)</f>
        <v>-3.8722216825095622E-3</v>
      </c>
      <c r="E163">
        <f>LN(dane!D159/dane!D158)</f>
        <v>8.5636957768749911E-3</v>
      </c>
      <c r="F163">
        <f>LN(dane!E159/dane!E158)</f>
        <v>4.9273221001834675E-4</v>
      </c>
      <c r="G163">
        <f>LN(dane!F159/dane!F158)</f>
        <v>2.7816429618767705E-3</v>
      </c>
      <c r="P163" s="1">
        <f t="shared" si="7"/>
        <v>46003</v>
      </c>
      <c r="Q163">
        <f t="shared" si="8"/>
        <v>1.1503107720698038E-3</v>
      </c>
      <c r="R163">
        <f t="shared" si="9"/>
        <v>1.27930364141576E-3</v>
      </c>
    </row>
    <row r="164" spans="2:18" x14ac:dyDescent="0.25">
      <c r="B164" s="1">
        <v>46006</v>
      </c>
      <c r="C164">
        <f>LN(dane!B160/dane!B159)</f>
        <v>2.7931384689177469E-2</v>
      </c>
      <c r="D164">
        <f>LN(dane!C160/dane!C159)</f>
        <v>2.1114028117015696E-2</v>
      </c>
      <c r="E164">
        <f>LN(dane!D160/dane!D159)</f>
        <v>1.6910472148316539E-2</v>
      </c>
      <c r="F164">
        <f>LN(dane!E160/dane!E159)</f>
        <v>9.8040000966208348E-3</v>
      </c>
      <c r="G164">
        <f>LN(dane!F160/dane!F159)</f>
        <v>3.6367644170874791E-2</v>
      </c>
      <c r="P164" s="1">
        <f t="shared" si="7"/>
        <v>46006</v>
      </c>
      <c r="Q164">
        <f t="shared" si="8"/>
        <v>2.2425505844401065E-2</v>
      </c>
      <c r="R164">
        <f t="shared" si="9"/>
        <v>2.1427481785361746E-2</v>
      </c>
    </row>
    <row r="165" spans="2:18" x14ac:dyDescent="0.25">
      <c r="B165" s="1">
        <v>46007</v>
      </c>
      <c r="C165">
        <f>LN(dane!B161/dane!B160)</f>
        <v>-8.1770537393886615E-3</v>
      </c>
      <c r="D165">
        <f>LN(dane!C161/dane!C160)</f>
        <v>-9.5420571332030472E-3</v>
      </c>
      <c r="E165">
        <f>LN(dane!D161/dane!D160)</f>
        <v>-3.8182558798123788E-3</v>
      </c>
      <c r="F165">
        <f>LN(dane!E161/dane!E160)</f>
        <v>-4.8899852941917919E-3</v>
      </c>
      <c r="G165">
        <f>LN(dane!F161/dane!F160)</f>
        <v>-1.8928009885518796E-2</v>
      </c>
      <c r="P165" s="1">
        <f t="shared" si="7"/>
        <v>46007</v>
      </c>
      <c r="Q165">
        <f t="shared" si="8"/>
        <v>-9.0710723864229348E-3</v>
      </c>
      <c r="R165">
        <f t="shared" si="9"/>
        <v>-9.7881337585727646E-3</v>
      </c>
    </row>
    <row r="166" spans="2:18" x14ac:dyDescent="0.25">
      <c r="B166" s="1">
        <v>46008</v>
      </c>
      <c r="C166">
        <f>LN(dane!B162/dane!B161)</f>
        <v>-3.3865537929853298E-3</v>
      </c>
      <c r="D166">
        <f>LN(dane!C162/dane!C161)</f>
        <v>-2.3279421778047534E-2</v>
      </c>
      <c r="E166">
        <f>LN(dane!D162/dane!D161)</f>
        <v>1.9109503235446063E-3</v>
      </c>
      <c r="F166">
        <f>LN(dane!E162/dane!E161)</f>
        <v>-8.3682496705165792E-3</v>
      </c>
      <c r="G166">
        <f>LN(dane!F162/dane!F161)</f>
        <v>-1.1899453909740773E-2</v>
      </c>
      <c r="P166" s="1">
        <f t="shared" si="7"/>
        <v>46008</v>
      </c>
      <c r="Q166">
        <f t="shared" si="8"/>
        <v>-9.0045457655491233E-3</v>
      </c>
      <c r="R166">
        <f t="shared" si="9"/>
        <v>-9.3926385658776902E-3</v>
      </c>
    </row>
    <row r="167" spans="2:18" x14ac:dyDescent="0.25">
      <c r="B167" s="1">
        <v>46009</v>
      </c>
      <c r="C167">
        <f>LN(dane!B163/dane!B162)</f>
        <v>1.4433736266561432E-2</v>
      </c>
      <c r="D167">
        <f>LN(dane!C163/dane!C162)</f>
        <v>5.8708583497836071E-3</v>
      </c>
      <c r="E167">
        <f>LN(dane!D163/dane!D162)</f>
        <v>-6.5121854352612144E-3</v>
      </c>
      <c r="F167">
        <f>LN(dane!E163/dane!E162)</f>
        <v>1.1793748493544087E-2</v>
      </c>
      <c r="G167">
        <f>LN(dane!F163/dane!F162)</f>
        <v>-4.6051117553424034E-4</v>
      </c>
      <c r="P167" s="1">
        <f t="shared" si="7"/>
        <v>46009</v>
      </c>
      <c r="Q167">
        <f t="shared" si="8"/>
        <v>5.0251292998187355E-3</v>
      </c>
      <c r="R167">
        <f t="shared" si="9"/>
        <v>5.9585869628657464E-3</v>
      </c>
    </row>
    <row r="168" spans="2:18" x14ac:dyDescent="0.25">
      <c r="B168" s="1">
        <v>46010</v>
      </c>
      <c r="C168">
        <f>LN(dane!B164/dane!B163)</f>
        <v>4.7653175713775519E-3</v>
      </c>
      <c r="D168">
        <f>LN(dane!C164/dane!C163)</f>
        <v>1.5008754261180576E-2</v>
      </c>
      <c r="E168">
        <f>LN(dane!D164/dane!D163)</f>
        <v>3.4746697897858586E-2</v>
      </c>
      <c r="F168">
        <f>LN(dane!E164/dane!E163)</f>
        <v>3.1733431954767119E-2</v>
      </c>
      <c r="G168">
        <f>LN(dane!F164/dane!F163)</f>
        <v>3.128797497079381E-2</v>
      </c>
      <c r="P168" s="1">
        <f t="shared" si="7"/>
        <v>46010</v>
      </c>
      <c r="Q168">
        <f t="shared" si="8"/>
        <v>2.3508435331195527E-2</v>
      </c>
      <c r="R168">
        <f t="shared" si="9"/>
        <v>2.7531842246186662E-2</v>
      </c>
    </row>
    <row r="169" spans="2:18" x14ac:dyDescent="0.25">
      <c r="B169" s="1">
        <v>46013</v>
      </c>
      <c r="C169">
        <f>LN(dane!B165/dane!B164)</f>
        <v>8.0492858840696645E-3</v>
      </c>
      <c r="D169">
        <f>LN(dane!C165/dane!C164)</f>
        <v>-1.2572699463299425E-2</v>
      </c>
      <c r="E169">
        <f>LN(dane!D165/dane!D164)</f>
        <v>9.6048023197336848E-3</v>
      </c>
      <c r="F169">
        <f>LN(dane!E165/dane!E164)</f>
        <v>1.4187753621332205E-3</v>
      </c>
      <c r="G169">
        <f>LN(dane!F165/dane!F164)</f>
        <v>-1.7873105740957515E-3</v>
      </c>
      <c r="P169" s="1">
        <f t="shared" si="7"/>
        <v>46013</v>
      </c>
      <c r="Q169">
        <f t="shared" si="8"/>
        <v>9.4257070570827892E-4</v>
      </c>
      <c r="R169">
        <f t="shared" si="9"/>
        <v>5.394558466749554E-4</v>
      </c>
    </row>
    <row r="170" spans="2:18" x14ac:dyDescent="0.25">
      <c r="B170" s="1">
        <v>46014</v>
      </c>
      <c r="C170">
        <f>LN(dane!B166/dane!B165)</f>
        <v>-4.4901410663246892E-3</v>
      </c>
      <c r="D170">
        <f>LN(dane!C166/dane!C165)</f>
        <v>-4.3891804187632076E-3</v>
      </c>
      <c r="E170">
        <f>LN(dane!D166/dane!D165)</f>
        <v>-2.9455102297568031E-3</v>
      </c>
      <c r="F170">
        <f>LN(dane!E166/dane!E165)</f>
        <v>1.8885746878681546E-3</v>
      </c>
      <c r="G170">
        <f>LN(dane!F166/dane!F165)</f>
        <v>-6.731010380562296E-3</v>
      </c>
      <c r="P170" s="1">
        <f t="shared" si="7"/>
        <v>46014</v>
      </c>
      <c r="Q170">
        <f t="shared" si="8"/>
        <v>-3.3334534815077678E-3</v>
      </c>
      <c r="R170">
        <f t="shared" si="9"/>
        <v>-2.4463564105058969E-3</v>
      </c>
    </row>
    <row r="171" spans="2:18" x14ac:dyDescent="0.25">
      <c r="B171" s="1">
        <v>46020</v>
      </c>
      <c r="C171">
        <f>LN(dane!B167/dane!B166)</f>
        <v>2.1294223118016589E-3</v>
      </c>
      <c r="D171">
        <f>LN(dane!C167/dane!C166)</f>
        <v>-4.899568841158425E-3</v>
      </c>
      <c r="E171">
        <f>LN(dane!D167/dane!D166)</f>
        <v>2.5777955721845197E-3</v>
      </c>
      <c r="F171">
        <f>LN(dane!E167/dane!E166)</f>
        <v>-6.1509538618691297E-3</v>
      </c>
      <c r="G171">
        <f>LN(dane!F167/dane!F166)</f>
        <v>-6.3234176376910306E-3</v>
      </c>
      <c r="P171" s="1">
        <f t="shared" si="7"/>
        <v>46020</v>
      </c>
      <c r="Q171">
        <f t="shared" si="8"/>
        <v>-2.5333444913464816E-3</v>
      </c>
      <c r="R171">
        <f t="shared" si="9"/>
        <v>-4.376641931772186E-3</v>
      </c>
    </row>
    <row r="172" spans="2:18" x14ac:dyDescent="0.25">
      <c r="B172" s="1">
        <v>46021</v>
      </c>
      <c r="C172">
        <f>LN(dane!B168/dane!B167)</f>
        <v>6.3611947333571889E-3</v>
      </c>
      <c r="D172">
        <f>LN(dane!C168/dane!C167)</f>
        <v>7.3403804019672152E-3</v>
      </c>
      <c r="E172">
        <f>LN(dane!D168/dane!D167)</f>
        <v>2.9379382131177619E-3</v>
      </c>
      <c r="F172">
        <f>LN(dane!E168/dane!E167)</f>
        <v>7.5650478990671116E-3</v>
      </c>
      <c r="G172">
        <f>LN(dane!F168/dane!F167)</f>
        <v>9.0579716338082912E-4</v>
      </c>
      <c r="P172" s="1">
        <f t="shared" si="7"/>
        <v>46021</v>
      </c>
      <c r="Q172">
        <f t="shared" si="8"/>
        <v>5.0220716821780219E-3</v>
      </c>
      <c r="R172">
        <f t="shared" si="9"/>
        <v>4.9617096434853101E-3</v>
      </c>
    </row>
    <row r="173" spans="2:18" x14ac:dyDescent="0.25">
      <c r="B173" s="1">
        <v>46024</v>
      </c>
      <c r="C173">
        <f>LN(dane!B169/dane!B168)</f>
        <v>3.2350325661281702E-2</v>
      </c>
      <c r="D173">
        <f>LN(dane!C169/dane!C168)</f>
        <v>2.930788675377154E-2</v>
      </c>
      <c r="E173">
        <f>LN(dane!D169/dane!D168)</f>
        <v>2.6774392414520152E-2</v>
      </c>
      <c r="F173">
        <f>LN(dane!E169/dane!E168)</f>
        <v>3.4717673260310541E-2</v>
      </c>
      <c r="G173">
        <f>LN(dane!F169/dane!F168)</f>
        <v>3.2512327001903797E-2</v>
      </c>
      <c r="P173" s="1">
        <f t="shared" si="7"/>
        <v>46024</v>
      </c>
      <c r="Q173">
        <f t="shared" si="8"/>
        <v>3.1132521018357548E-2</v>
      </c>
      <c r="R173">
        <f t="shared" si="9"/>
        <v>3.2484027887652693E-2</v>
      </c>
    </row>
    <row r="174" spans="2:18" x14ac:dyDescent="0.25">
      <c r="B174" s="1">
        <v>46027</v>
      </c>
      <c r="C174">
        <f>LN(dane!B170/dane!B169)</f>
        <v>-5.7006197017858643E-3</v>
      </c>
      <c r="D174">
        <f>LN(dane!C170/dane!C169)</f>
        <v>0</v>
      </c>
      <c r="E174">
        <f>LN(dane!D170/dane!D169)</f>
        <v>-7.1659210261437048E-3</v>
      </c>
      <c r="F174">
        <f>LN(dane!E170/dane!E169)</f>
        <v>-3.0487349677831489E-2</v>
      </c>
      <c r="G174">
        <f>LN(dane!F170/dane!F169)</f>
        <v>3.4995661262643323E-3</v>
      </c>
      <c r="P174" s="1">
        <f t="shared" si="7"/>
        <v>46027</v>
      </c>
      <c r="Q174">
        <f t="shared" si="8"/>
        <v>-7.9708648558993438E-3</v>
      </c>
      <c r="R174">
        <f t="shared" si="9"/>
        <v>-1.2431724106046255E-2</v>
      </c>
    </row>
    <row r="175" spans="2:18" x14ac:dyDescent="0.25">
      <c r="B175" s="1">
        <v>46029</v>
      </c>
      <c r="C175">
        <f>LN(dane!B171/dane!B170)</f>
        <v>-9.1891296730111337E-3</v>
      </c>
      <c r="D175">
        <f>LN(dane!C171/dane!C170)</f>
        <v>8.4866138773187251E-3</v>
      </c>
      <c r="E175">
        <f>LN(dane!D171/dane!D170)</f>
        <v>2.3103924415832911E-2</v>
      </c>
      <c r="F175">
        <f>LN(dane!E171/dane!E170)</f>
        <v>3.1396854060672073E-2</v>
      </c>
      <c r="G175">
        <f>LN(dane!F171/dane!F170)</f>
        <v>6.9626042807188872E-3</v>
      </c>
      <c r="P175" s="1">
        <f t="shared" si="7"/>
        <v>46029</v>
      </c>
      <c r="Q175">
        <f t="shared" si="8"/>
        <v>1.2152173392306294E-2</v>
      </c>
      <c r="R175">
        <f t="shared" si="9"/>
        <v>1.6887663770498544E-2</v>
      </c>
    </row>
    <row r="176" spans="2:18" x14ac:dyDescent="0.25">
      <c r="B176" s="1">
        <v>46030</v>
      </c>
      <c r="C176">
        <f>LN(dane!B172/dane!B171)</f>
        <v>-3.0047405017533235E-3</v>
      </c>
      <c r="D176">
        <f>LN(dane!C172/dane!C171)</f>
        <v>-9.9080782246961877E-3</v>
      </c>
      <c r="E176">
        <f>LN(dane!D172/dane!D171)</f>
        <v>-3.5198909977795694E-3</v>
      </c>
      <c r="F176">
        <f>LN(dane!E172/dane!E171)</f>
        <v>-4.0821994520255166E-2</v>
      </c>
      <c r="G176">
        <f>LN(dane!F172/dane!F171)</f>
        <v>-1.3094905582782795E-2</v>
      </c>
      <c r="P176" s="1">
        <f t="shared" si="7"/>
        <v>46030</v>
      </c>
      <c r="Q176">
        <f t="shared" si="8"/>
        <v>-1.4069921965453409E-2</v>
      </c>
      <c r="R176">
        <f t="shared" si="9"/>
        <v>-2.1900540455359815E-2</v>
      </c>
    </row>
    <row r="177" spans="2:18" x14ac:dyDescent="0.25">
      <c r="B177" s="1">
        <v>46031</v>
      </c>
      <c r="C177">
        <f>LN(dane!B173/dane!B172)</f>
        <v>1.1278747713279805E-2</v>
      </c>
      <c r="D177">
        <f>LN(dane!C173/dane!C172)</f>
        <v>-9.4876667458564014E-4</v>
      </c>
      <c r="E177">
        <f>LN(dane!D173/dane!D172)</f>
        <v>-1.9584033418053298E-2</v>
      </c>
      <c r="F177">
        <f>LN(dane!E173/dane!E172)</f>
        <v>-7.1276139242321237E-3</v>
      </c>
      <c r="G177">
        <f>LN(dane!F173/dane!F172)</f>
        <v>-6.1701385701557867E-3</v>
      </c>
      <c r="P177" s="1">
        <f t="shared" si="7"/>
        <v>46031</v>
      </c>
      <c r="Q177">
        <f t="shared" si="8"/>
        <v>-4.5103609747494085E-3</v>
      </c>
      <c r="R177">
        <f t="shared" si="9"/>
        <v>-5.6274923786754985E-3</v>
      </c>
    </row>
    <row r="178" spans="2:18" x14ac:dyDescent="0.25">
      <c r="B178" s="1">
        <v>46034</v>
      </c>
      <c r="C178">
        <f>LN(dane!B174/dane!B173)</f>
        <v>1.5444322427473556E-2</v>
      </c>
      <c r="D178">
        <f>LN(dane!C174/dane!C173)</f>
        <v>6.1509538618692537E-3</v>
      </c>
      <c r="E178">
        <f>LN(dane!D174/dane!D173)</f>
        <v>6.0943009914615556E-3</v>
      </c>
      <c r="F178">
        <f>LN(dane!E174/dane!E173)</f>
        <v>9.9644952594317281E-3</v>
      </c>
      <c r="G178">
        <f>LN(dane!F174/dane!F173)</f>
        <v>6.6094093876738072E-3</v>
      </c>
      <c r="P178" s="1">
        <f t="shared" si="7"/>
        <v>46034</v>
      </c>
      <c r="Q178">
        <f t="shared" si="8"/>
        <v>8.8526963855819815E-3</v>
      </c>
      <c r="R178">
        <f t="shared" si="9"/>
        <v>8.7375786481552701E-3</v>
      </c>
    </row>
    <row r="179" spans="2:18" x14ac:dyDescent="0.25">
      <c r="B179" s="1">
        <v>46035</v>
      </c>
      <c r="C179">
        <f>LN(dane!B175/dane!B174)</f>
        <v>-1.9802627296179643E-2</v>
      </c>
      <c r="D179">
        <f>LN(dane!C175/dane!C174)</f>
        <v>-4.728141195946012E-3</v>
      </c>
      <c r="E179">
        <f>LN(dane!D175/dane!D174)</f>
        <v>-1.6576956172192313E-2</v>
      </c>
      <c r="F179">
        <f>LN(dane!E175/dane!E174)</f>
        <v>-1.378676460478602E-2</v>
      </c>
      <c r="G179">
        <f>LN(dane!F175/dane!F174)</f>
        <v>-2.6385239581811718E-3</v>
      </c>
      <c r="P179" s="1">
        <f t="shared" si="7"/>
        <v>46035</v>
      </c>
      <c r="Q179">
        <f t="shared" si="8"/>
        <v>-1.1506602645457033E-2</v>
      </c>
      <c r="R179">
        <f t="shared" si="9"/>
        <v>-1.0417035495800558E-2</v>
      </c>
    </row>
    <row r="180" spans="2:18" x14ac:dyDescent="0.25">
      <c r="B180" s="1">
        <v>46036</v>
      </c>
      <c r="C180">
        <f>LN(dane!B176/dane!B175)</f>
        <v>-1.610491547907921E-3</v>
      </c>
      <c r="D180">
        <f>LN(dane!C176/dane!C175)</f>
        <v>-9.0455270414786428E-3</v>
      </c>
      <c r="E180">
        <f>LN(dane!D176/dane!D175)</f>
        <v>-1.3904358658419911E-2</v>
      </c>
      <c r="F180">
        <f>LN(dane!E176/dane!E175)</f>
        <v>-2.4225990982110618E-2</v>
      </c>
      <c r="G180">
        <f>LN(dane!F176/dane!F175)</f>
        <v>-2.1362628141361851E-2</v>
      </c>
      <c r="P180" s="1">
        <f t="shared" si="7"/>
        <v>46036</v>
      </c>
      <c r="Q180">
        <f t="shared" si="8"/>
        <v>-1.4029799274255789E-2</v>
      </c>
      <c r="R180">
        <f t="shared" si="9"/>
        <v>-1.855522256003345E-2</v>
      </c>
    </row>
    <row r="181" spans="2:18" x14ac:dyDescent="0.25">
      <c r="B181" s="1">
        <v>46037</v>
      </c>
      <c r="C181">
        <f>LN(dane!B177/dane!B176)</f>
        <v>4.8237144181395523E-3</v>
      </c>
      <c r="D181">
        <f>LN(dane!C177/dane!C176)</f>
        <v>-2.3940638679158656E-3</v>
      </c>
      <c r="E181">
        <f>LN(dane!D177/dane!D176)</f>
        <v>-1.4749265210677565E-3</v>
      </c>
      <c r="F181">
        <f>LN(dane!E177/dane!E176)</f>
        <v>-4.4236985386221141E-3</v>
      </c>
      <c r="G181">
        <f>LN(dane!F177/dane!F176)</f>
        <v>1.3405026468047764E-2</v>
      </c>
      <c r="P181" s="1">
        <f t="shared" si="7"/>
        <v>46037</v>
      </c>
      <c r="Q181">
        <f t="shared" si="8"/>
        <v>1.9872103917163162E-3</v>
      </c>
      <c r="R181">
        <f t="shared" si="9"/>
        <v>2.3475009278810769E-3</v>
      </c>
    </row>
    <row r="182" spans="2:18" x14ac:dyDescent="0.25">
      <c r="B182" s="1">
        <v>46038</v>
      </c>
      <c r="C182">
        <f>LN(dane!B178/dane!B177)</f>
        <v>-6.6674577383192346E-3</v>
      </c>
      <c r="D182">
        <f>LN(dane!C178/dane!C177)</f>
        <v>-1.4391942997456723E-3</v>
      </c>
      <c r="E182">
        <f>LN(dane!D178/dane!D177)</f>
        <v>-1.1076242594454972E-3</v>
      </c>
      <c r="F182">
        <f>LN(dane!E178/dane!E177)</f>
        <v>-1.9723872272043464E-3</v>
      </c>
      <c r="G182">
        <f>LN(dane!F178/dane!F177)</f>
        <v>-1.1158339385069823E-2</v>
      </c>
      <c r="P182" s="1">
        <f t="shared" si="7"/>
        <v>46038</v>
      </c>
      <c r="Q182">
        <f t="shared" si="8"/>
        <v>-4.4690005819569157E-3</v>
      </c>
      <c r="R182">
        <f t="shared" si="9"/>
        <v>-5.0578843361537259E-3</v>
      </c>
    </row>
    <row r="183" spans="2:18" x14ac:dyDescent="0.25">
      <c r="B183" s="1">
        <v>46041</v>
      </c>
      <c r="C183">
        <f>LN(dane!B179/dane!B178)</f>
        <v>3.4542348680876036E-3</v>
      </c>
      <c r="D183">
        <f>LN(dane!C179/dane!C178)</f>
        <v>-9.6479281897201338E-3</v>
      </c>
      <c r="E183">
        <f>LN(dane!D179/dane!D178)</f>
        <v>-1.1088524514465427E-3</v>
      </c>
      <c r="F183">
        <f>LN(dane!E179/dane!E178)</f>
        <v>-6.4372591688371854E-3</v>
      </c>
      <c r="G183">
        <f>LN(dane!F179/dane!F178)</f>
        <v>-4.4984331368622572E-3</v>
      </c>
      <c r="P183" s="1">
        <f t="shared" si="7"/>
        <v>46041</v>
      </c>
      <c r="Q183">
        <f t="shared" si="8"/>
        <v>-3.6476476157557033E-3</v>
      </c>
      <c r="R183">
        <f t="shared" si="9"/>
        <v>-4.6546881859014589E-3</v>
      </c>
    </row>
    <row r="184" spans="2:18" x14ac:dyDescent="0.25">
      <c r="B184" s="1">
        <v>46042</v>
      </c>
      <c r="C184">
        <f>LN(dane!B180/dane!B179)</f>
        <v>3.9004294028312392E-3</v>
      </c>
      <c r="D184">
        <f>LN(dane!C180/dane!C179)</f>
        <v>6.7633108048603527E-3</v>
      </c>
      <c r="E184">
        <f>LN(dane!D180/dane!D179)</f>
        <v>5.899722127188322E-3</v>
      </c>
      <c r="F184">
        <f>LN(dane!E180/dane!E179)</f>
        <v>-1.989060824857032E-3</v>
      </c>
      <c r="G184">
        <f>LN(dane!F180/dane!F179)</f>
        <v>7.1878117188336156E-3</v>
      </c>
      <c r="P184" s="1">
        <f t="shared" si="7"/>
        <v>46042</v>
      </c>
      <c r="Q184">
        <f t="shared" si="8"/>
        <v>4.3524426457712991E-3</v>
      </c>
      <c r="R184">
        <f t="shared" si="9"/>
        <v>3.0170654191952629E-3</v>
      </c>
    </row>
    <row r="185" spans="2:18" x14ac:dyDescent="0.25">
      <c r="B185" s="1">
        <v>46043</v>
      </c>
      <c r="C185">
        <f>LN(dane!B181/dane!B180)</f>
        <v>0</v>
      </c>
      <c r="D185">
        <f>LN(dane!C181/dane!C180)</f>
        <v>-2.410220496738624E-3</v>
      </c>
      <c r="E185">
        <f>LN(dane!D181/dane!D180)</f>
        <v>3.6757949320340209E-4</v>
      </c>
      <c r="F185">
        <f>LN(dane!E181/dane!E180)</f>
        <v>-1.433824132766635E-2</v>
      </c>
      <c r="G185">
        <f>LN(dane!F181/dane!F180)</f>
        <v>9.3562723076325745E-3</v>
      </c>
      <c r="P185" s="1">
        <f t="shared" si="7"/>
        <v>46043</v>
      </c>
      <c r="Q185">
        <f t="shared" si="8"/>
        <v>-1.4049220047137997E-3</v>
      </c>
      <c r="R185">
        <f t="shared" si="9"/>
        <v>-3.1326789391302907E-3</v>
      </c>
    </row>
    <row r="186" spans="2:18" x14ac:dyDescent="0.25">
      <c r="B186" s="1">
        <v>46044</v>
      </c>
      <c r="C186">
        <f>LN(dane!B182/dane!B181)</f>
        <v>3.1777321674105942E-2</v>
      </c>
      <c r="D186">
        <f>LN(dane!C182/dane!C181)</f>
        <v>3.9276399158474432E-2</v>
      </c>
      <c r="E186">
        <f>LN(dane!D182/dane!D181)</f>
        <v>2.8619957380048824E-2</v>
      </c>
      <c r="F186">
        <f>LN(dane!E182/dane!E181)</f>
        <v>3.4053024751631758E-2</v>
      </c>
      <c r="G186">
        <f>LN(dane!F182/dane!F181)</f>
        <v>1.4528100562909808E-2</v>
      </c>
      <c r="P186" s="1">
        <f t="shared" si="7"/>
        <v>46044</v>
      </c>
      <c r="Q186">
        <f t="shared" si="8"/>
        <v>2.965096070543416E-2</v>
      </c>
      <c r="R186">
        <f t="shared" si="9"/>
        <v>2.7947007890788567E-2</v>
      </c>
    </row>
    <row r="187" spans="2:18" x14ac:dyDescent="0.25">
      <c r="B187" s="1">
        <v>46045</v>
      </c>
      <c r="C187">
        <f>LN(dane!B183/dane!B182)</f>
        <v>-2.0845762121606569E-2</v>
      </c>
      <c r="D187">
        <f>LN(dane!C183/dane!C182)</f>
        <v>-3.3021868304946307E-2</v>
      </c>
      <c r="E187">
        <f>LN(dane!D183/dane!D182)</f>
        <v>-2.3853678879400542E-2</v>
      </c>
      <c r="F187">
        <f>LN(dane!E183/dane!E182)</f>
        <v>-2.1707808498230195E-2</v>
      </c>
      <c r="G187">
        <f>LN(dane!F183/dane!F182)</f>
        <v>-7.0175726586466465E-3</v>
      </c>
      <c r="P187" s="1">
        <f t="shared" si="7"/>
        <v>46045</v>
      </c>
      <c r="Q187">
        <f t="shared" si="8"/>
        <v>-2.1289338092566057E-2</v>
      </c>
      <c r="R187">
        <f t="shared" si="9"/>
        <v>-1.8560526127481412E-2</v>
      </c>
    </row>
    <row r="188" spans="2:18" x14ac:dyDescent="0.25">
      <c r="B188" s="1">
        <v>46048</v>
      </c>
      <c r="C188">
        <f>LN(dane!B184/dane!B183)</f>
        <v>2.5714105439019228E-2</v>
      </c>
      <c r="D188">
        <f>LN(dane!C184/dane!C183)</f>
        <v>2.8370697129215566E-2</v>
      </c>
      <c r="E188">
        <f>LN(dane!D184/dane!D183)</f>
        <v>2.0275857531516481E-2</v>
      </c>
      <c r="F188">
        <f>LN(dane!E184/dane!E183)</f>
        <v>9.9256397999699982E-3</v>
      </c>
      <c r="G188">
        <f>LN(dane!F184/dane!F183)</f>
        <v>1.2248622076199239E-2</v>
      </c>
      <c r="P188" s="1">
        <f t="shared" si="7"/>
        <v>46048</v>
      </c>
      <c r="Q188">
        <f t="shared" si="8"/>
        <v>1.9306984395184103E-2</v>
      </c>
      <c r="R188">
        <f t="shared" si="9"/>
        <v>1.5080908552822899E-2</v>
      </c>
    </row>
    <row r="189" spans="2:18" x14ac:dyDescent="0.25">
      <c r="B189" s="1">
        <v>46049</v>
      </c>
      <c r="C189">
        <f>LN(dane!B185/dane!B184)</f>
        <v>2.356129933839729E-2</v>
      </c>
      <c r="D189">
        <f>LN(dane!C185/dane!C184)</f>
        <v>1.7560525187826526E-2</v>
      </c>
      <c r="E189">
        <f>LN(dane!D185/dane!D184)</f>
        <v>2.1628214097260848E-2</v>
      </c>
      <c r="F189">
        <f>LN(dane!E185/dane!E184)</f>
        <v>1.8591533530612232E-2</v>
      </c>
      <c r="G189">
        <f>LN(dane!F185/dane!F184)</f>
        <v>7.7956219824560904E-3</v>
      </c>
      <c r="P189" s="1">
        <f t="shared" si="7"/>
        <v>46049</v>
      </c>
      <c r="Q189">
        <f t="shared" si="8"/>
        <v>1.7827438827310596E-2</v>
      </c>
      <c r="R189">
        <f t="shared" si="9"/>
        <v>1.6050303869330186E-2</v>
      </c>
    </row>
    <row r="190" spans="2:18" x14ac:dyDescent="0.25">
      <c r="B190" s="1">
        <v>46050</v>
      </c>
      <c r="C190">
        <f>LN(dane!B186/dane!B185)</f>
        <v>-3.888533739692369E-3</v>
      </c>
      <c r="D190">
        <f>LN(dane!C186/dane!C185)</f>
        <v>-8.7417165835717986E-3</v>
      </c>
      <c r="E190">
        <f>LN(dane!D186/dane!D185)</f>
        <v>-8.8075256681992876E-3</v>
      </c>
      <c r="F190">
        <f>LN(dane!E186/dane!E185)</f>
        <v>-1.415693646274661E-2</v>
      </c>
      <c r="G190">
        <f>LN(dane!F186/dane!F185)</f>
        <v>-3.4572203838577915E-3</v>
      </c>
      <c r="P190" s="1">
        <f t="shared" si="7"/>
        <v>46050</v>
      </c>
      <c r="Q190">
        <f t="shared" si="8"/>
        <v>-7.8103865676135715E-3</v>
      </c>
      <c r="R190">
        <f t="shared" si="9"/>
        <v>-8.843718299402328E-3</v>
      </c>
    </row>
    <row r="191" spans="2:18" x14ac:dyDescent="0.25">
      <c r="B191" s="1">
        <v>46051</v>
      </c>
      <c r="C191">
        <f>LN(dane!B187/dane!B186)</f>
        <v>-1.7247452977833592E-2</v>
      </c>
      <c r="D191">
        <f>LN(dane!C187/dane!C186)</f>
        <v>-1.6775789504837126E-2</v>
      </c>
      <c r="E191">
        <f>LN(dane!D187/dane!D186)</f>
        <v>-2.07372465069126E-2</v>
      </c>
      <c r="F191">
        <f>LN(dane!E187/dane!E186)</f>
        <v>-1.2865095796885479E-2</v>
      </c>
      <c r="G191">
        <f>LN(dane!F187/dane!F186)</f>
        <v>-1.1319232739938317E-2</v>
      </c>
      <c r="P191" s="1">
        <f t="shared" si="7"/>
        <v>46051</v>
      </c>
      <c r="Q191">
        <f t="shared" si="8"/>
        <v>-1.5788963505281424E-2</v>
      </c>
      <c r="R191">
        <f t="shared" si="9"/>
        <v>-1.4017857039694019E-2</v>
      </c>
    </row>
    <row r="192" spans="2:18" x14ac:dyDescent="0.25">
      <c r="B192" s="1">
        <v>46052</v>
      </c>
      <c r="C192">
        <f>LN(dane!B188/dane!B187)</f>
        <v>1.9193609933319443E-2</v>
      </c>
      <c r="D192">
        <f>LN(dane!C188/dane!C187)</f>
        <v>1.862251209800185E-2</v>
      </c>
      <c r="E192">
        <f>LN(dane!D188/dane!D187)</f>
        <v>1.0064786616140837E-2</v>
      </c>
      <c r="F192">
        <f>LN(dane!E188/dane!E187)</f>
        <v>3.3303763474159413E-2</v>
      </c>
      <c r="G192">
        <f>LN(dane!F188/dane!F187)</f>
        <v>1.6500591481935941E-2</v>
      </c>
      <c r="P192" s="1">
        <f t="shared" si="7"/>
        <v>46052</v>
      </c>
      <c r="Q192">
        <f t="shared" si="8"/>
        <v>1.95370527207115E-2</v>
      </c>
      <c r="R192">
        <f t="shared" si="9"/>
        <v>2.305977369899076E-2</v>
      </c>
    </row>
    <row r="193" spans="2:18" x14ac:dyDescent="0.25">
      <c r="B193" s="1">
        <v>46055</v>
      </c>
      <c r="C193">
        <f>LN(dane!B189/dane!B188)</f>
        <v>9.8883006915169366E-3</v>
      </c>
      <c r="D193">
        <f>LN(dane!C189/dane!C188)</f>
        <v>2.0995750709045351E-2</v>
      </c>
      <c r="E193">
        <f>LN(dane!D189/dane!D188)</f>
        <v>2.6470576767363013E-2</v>
      </c>
      <c r="F193">
        <f>LN(dane!E189/dane!E188)</f>
        <v>1.624498218433296E-2</v>
      </c>
      <c r="G193">
        <f>LN(dane!F189/dane!F188)</f>
        <v>1.7079834499470741E-2</v>
      </c>
      <c r="P193" s="1">
        <f t="shared" si="7"/>
        <v>46055</v>
      </c>
      <c r="Q193">
        <f t="shared" si="8"/>
        <v>1.8135888970345803E-2</v>
      </c>
      <c r="R193">
        <f t="shared" si="9"/>
        <v>1.7357406040366938E-2</v>
      </c>
    </row>
    <row r="194" spans="2:18" x14ac:dyDescent="0.25">
      <c r="B194" s="1">
        <v>46056</v>
      </c>
      <c r="C194">
        <f>LN(dane!B190/dane!B189)</f>
        <v>3.1581572050298837E-2</v>
      </c>
      <c r="D194">
        <f>LN(dane!C190/dane!C189)</f>
        <v>4.6766351391773452E-2</v>
      </c>
      <c r="E194">
        <f>LN(dane!D190/dane!D189)</f>
        <v>4.9602559037997089E-2</v>
      </c>
      <c r="F194">
        <f>LN(dane!E190/dane!E189)</f>
        <v>2.6194201090823793E-2</v>
      </c>
      <c r="G194">
        <f>LN(dane!F190/dane!F189)</f>
        <v>7.1079318799809041E-2</v>
      </c>
      <c r="P194" s="1">
        <f t="shared" si="7"/>
        <v>46056</v>
      </c>
      <c r="Q194">
        <f t="shared" si="8"/>
        <v>4.5044800474140445E-2</v>
      </c>
      <c r="R194">
        <f t="shared" si="9"/>
        <v>4.4596524324279171E-2</v>
      </c>
    </row>
    <row r="195" spans="2:18" x14ac:dyDescent="0.25">
      <c r="B195" s="1">
        <v>46057</v>
      </c>
      <c r="C195">
        <f>LN(dane!B191/dane!B190)</f>
        <v>-4.1536923686935163E-3</v>
      </c>
      <c r="D195">
        <f>LN(dane!C191/dane!C190)</f>
        <v>6.0163481861456938E-3</v>
      </c>
      <c r="E195">
        <f>LN(dane!D191/dane!D190)</f>
        <v>-1.3267000287597863E-3</v>
      </c>
      <c r="F195">
        <f>LN(dane!E191/dane!E190)</f>
        <v>-7.4143064392274798E-3</v>
      </c>
      <c r="G195">
        <f>LN(dane!F191/dane!F190)</f>
        <v>-1.1836655554412028E-3</v>
      </c>
      <c r="P195" s="1">
        <f t="shared" si="7"/>
        <v>46057</v>
      </c>
      <c r="Q195">
        <f t="shared" si="8"/>
        <v>-1.6124032411952583E-3</v>
      </c>
      <c r="R195">
        <f t="shared" si="9"/>
        <v>-3.2672266634541135E-3</v>
      </c>
    </row>
    <row r="196" spans="2:18" x14ac:dyDescent="0.25">
      <c r="B196" s="1">
        <v>46058</v>
      </c>
      <c r="C196">
        <f>LN(dane!B192/dane!B191)</f>
        <v>-3.3435192319414518E-2</v>
      </c>
      <c r="D196">
        <f>LN(dane!C192/dane!C191)</f>
        <v>-2.2531282424480419E-2</v>
      </c>
      <c r="E196">
        <f>LN(dane!D192/dane!D191)</f>
        <v>-3.2723446001752483E-2</v>
      </c>
      <c r="F196">
        <f>LN(dane!E192/dane!E191)</f>
        <v>-2.0202707317519466E-2</v>
      </c>
      <c r="G196">
        <f>LN(dane!F192/dane!F191)</f>
        <v>-1.5516523761693511E-2</v>
      </c>
      <c r="P196" s="1">
        <f t="shared" si="7"/>
        <v>46058</v>
      </c>
      <c r="Q196">
        <f t="shared" si="8"/>
        <v>-2.4881830364972081E-2</v>
      </c>
      <c r="R196">
        <f t="shared" si="9"/>
        <v>-2.1605032130080581E-2</v>
      </c>
    </row>
    <row r="197" spans="2:18" x14ac:dyDescent="0.25">
      <c r="B197" s="1">
        <v>46059</v>
      </c>
      <c r="C197">
        <f>LN(dane!B193/dane!B192)</f>
        <v>2.3643213593079809E-3</v>
      </c>
      <c r="D197">
        <f>LN(dane!C193/dane!C192)</f>
        <v>8.7260588598069861E-3</v>
      </c>
      <c r="E197">
        <f>LN(dane!D193/dane!D192)</f>
        <v>-5.5020771539834217E-3</v>
      </c>
      <c r="F197">
        <f>LN(dane!E193/dane!E192)</f>
        <v>9.9174366573459242E-3</v>
      </c>
      <c r="G197">
        <f>LN(dane!F193/dane!F192)</f>
        <v>-1.0074636894802305E-2</v>
      </c>
      <c r="P197" s="1">
        <f t="shared" si="7"/>
        <v>46059</v>
      </c>
      <c r="Q197">
        <f t="shared" si="8"/>
        <v>1.0862205655350326E-3</v>
      </c>
      <c r="R197">
        <f t="shared" si="9"/>
        <v>1.5034139010108335E-3</v>
      </c>
    </row>
    <row r="198" spans="2:18" x14ac:dyDescent="0.25">
      <c r="B198" s="1">
        <v>46062</v>
      </c>
      <c r="C198">
        <f>LN(dane!B194/dane!B193)</f>
        <v>7.0596078841716732E-3</v>
      </c>
      <c r="D198">
        <f>LN(dane!C194/dane!C193)</f>
        <v>7.78887537852763E-3</v>
      </c>
      <c r="E198">
        <f>LN(dane!D194/dane!D193)</f>
        <v>1.3358650444351864E-2</v>
      </c>
      <c r="F198">
        <f>LN(dane!E194/dane!E193)</f>
        <v>1.9083660365339445E-2</v>
      </c>
      <c r="G198">
        <f>LN(dane!F194/dane!F193)</f>
        <v>2.044569116028952E-2</v>
      </c>
      <c r="P198" s="1">
        <f t="shared" si="7"/>
        <v>46062</v>
      </c>
      <c r="Q198">
        <f t="shared" si="8"/>
        <v>1.3547297046536028E-2</v>
      </c>
      <c r="R198">
        <f t="shared" si="9"/>
        <v>1.6587884864927752E-2</v>
      </c>
    </row>
    <row r="199" spans="2:18" x14ac:dyDescent="0.25">
      <c r="B199" s="1">
        <v>46063</v>
      </c>
      <c r="C199">
        <f>LN(dane!B195/dane!B194)</f>
        <v>-1.352097001489071E-2</v>
      </c>
      <c r="D199">
        <f>LN(dane!C195/dane!C194)</f>
        <v>-2.5895569067336775E-3</v>
      </c>
      <c r="E199">
        <f>LN(dane!D195/dane!D194)</f>
        <v>3.7357829149481745E-3</v>
      </c>
      <c r="F199">
        <f>LN(dane!E195/dane!E194)</f>
        <v>-1.3460402810977164E-2</v>
      </c>
      <c r="G199">
        <f>LN(dane!F195/dane!F194)</f>
        <v>-5.970166986503796E-3</v>
      </c>
      <c r="P199" s="1">
        <f t="shared" ref="P199:P240" si="10">B199</f>
        <v>46063</v>
      </c>
      <c r="Q199">
        <f t="shared" si="8"/>
        <v>-6.361062760831435E-3</v>
      </c>
      <c r="R199">
        <f t="shared" si="9"/>
        <v>-8.4126856210096253E-3</v>
      </c>
    </row>
    <row r="200" spans="2:18" x14ac:dyDescent="0.25">
      <c r="B200" s="1">
        <v>46064</v>
      </c>
      <c r="C200">
        <f>LN(dane!B196/dane!B195)</f>
        <v>-6.7208925073392557E-3</v>
      </c>
      <c r="D200">
        <f>LN(dane!C196/dane!C195)</f>
        <v>-4.7650079329366896E-3</v>
      </c>
      <c r="E200">
        <f>LN(dane!D196/dane!D195)</f>
        <v>5.0718620979603489E-3</v>
      </c>
      <c r="F200">
        <f>LN(dane!E196/dane!E195)</f>
        <v>-1.8868484304382805E-2</v>
      </c>
      <c r="G200">
        <f>LN(dane!F196/dane!F195)</f>
        <v>-7.6137414483087298E-3</v>
      </c>
      <c r="P200" s="1">
        <f t="shared" si="10"/>
        <v>46064</v>
      </c>
      <c r="Q200">
        <f t="shared" ref="Q200:Q240" si="11">0.2*(C200+D200+E200+F200+G200)</f>
        <v>-6.5792528190014264E-3</v>
      </c>
      <c r="R200">
        <f t="shared" ref="R200:R240" si="12">$J$12*C200+$K$12*D200+$L$12*E200+$M$12*F200+$N$12*G200</f>
        <v>-1.04729199904773E-2</v>
      </c>
    </row>
    <row r="201" spans="2:18" x14ac:dyDescent="0.25">
      <c r="B201" s="1">
        <v>46065</v>
      </c>
      <c r="C201">
        <f>LN(dane!B197/dane!B196)</f>
        <v>6.5238667095840236E-4</v>
      </c>
      <c r="D201">
        <f>LN(dane!C197/dane!C196)</f>
        <v>-2.1734414119841707E-3</v>
      </c>
      <c r="E201">
        <f>LN(dane!D197/dane!D196)</f>
        <v>2.1685587071589057E-2</v>
      </c>
      <c r="F201">
        <f>LN(dane!E197/dane!E196)</f>
        <v>1.1834457647002798E-2</v>
      </c>
      <c r="G201">
        <f>LN(dane!F197/dane!F196)</f>
        <v>0</v>
      </c>
      <c r="P201" s="1">
        <f t="shared" si="10"/>
        <v>46065</v>
      </c>
      <c r="Q201">
        <f t="shared" si="11"/>
        <v>6.3997979955132183E-3</v>
      </c>
      <c r="R201">
        <f t="shared" si="12"/>
        <v>6.7502362918574485E-3</v>
      </c>
    </row>
    <row r="202" spans="2:18" x14ac:dyDescent="0.25">
      <c r="B202" s="1">
        <v>46066</v>
      </c>
      <c r="C202">
        <f>LN(dane!B198/dane!B197)</f>
        <v>-2.933926112506767E-2</v>
      </c>
      <c r="D202">
        <f>LN(dane!C198/dane!C197)</f>
        <v>-3.4081634514273623E-2</v>
      </c>
      <c r="E202">
        <f>LN(dane!D198/dane!D197)</f>
        <v>-3.1855166241217994E-2</v>
      </c>
      <c r="F202">
        <f>LN(dane!E198/dane!E197)</f>
        <v>-4.8696050951161092E-2</v>
      </c>
      <c r="G202">
        <f>LN(dane!F198/dane!F197)</f>
        <v>-4.0637645731826391E-2</v>
      </c>
      <c r="P202" s="1">
        <f t="shared" si="10"/>
        <v>46066</v>
      </c>
      <c r="Q202">
        <f t="shared" si="11"/>
        <v>-3.6921951712709358E-2</v>
      </c>
      <c r="R202">
        <f t="shared" si="12"/>
        <v>-4.1197320288068287E-2</v>
      </c>
    </row>
    <row r="203" spans="2:18" x14ac:dyDescent="0.25">
      <c r="B203" s="1">
        <v>46069</v>
      </c>
      <c r="C203">
        <f>LN(dane!B199/dane!B198)</f>
        <v>6.7136625549584817E-4</v>
      </c>
      <c r="D203">
        <f>LN(dane!C199/dane!C198)</f>
        <v>9.4107797376776492E-3</v>
      </c>
      <c r="E203">
        <f>LN(dane!D199/dane!D198)</f>
        <v>1.8565934122535193E-2</v>
      </c>
      <c r="F203">
        <f>LN(dane!E199/dane!E198)</f>
        <v>1.0322038069545953E-2</v>
      </c>
      <c r="G203">
        <f>LN(dane!F199/dane!F198)</f>
        <v>0</v>
      </c>
      <c r="P203" s="1">
        <f t="shared" si="10"/>
        <v>46069</v>
      </c>
      <c r="Q203">
        <f t="shared" si="11"/>
        <v>7.7940236370509291E-3</v>
      </c>
      <c r="R203">
        <f t="shared" si="12"/>
        <v>6.9936232393892506E-3</v>
      </c>
    </row>
    <row r="204" spans="2:18" x14ac:dyDescent="0.25">
      <c r="B204" s="1">
        <v>46070</v>
      </c>
      <c r="C204">
        <f>LN(dane!B200/dane!B199)</f>
        <v>-2.2396425935047983E-3</v>
      </c>
      <c r="D204">
        <f>LN(dane!C200/dane!C199)</f>
        <v>4.4593088810328333E-4</v>
      </c>
      <c r="E204">
        <f>LN(dane!D200/dane!D199)</f>
        <v>4.671346499293072E-3</v>
      </c>
      <c r="F204">
        <f>LN(dane!E200/dane!E199)</f>
        <v>5.8508211760551192E-3</v>
      </c>
      <c r="G204">
        <f>LN(dane!F200/dane!F199)</f>
        <v>4.180608095554165E-3</v>
      </c>
      <c r="P204" s="1">
        <f t="shared" si="10"/>
        <v>46070</v>
      </c>
      <c r="Q204">
        <f t="shared" si="11"/>
        <v>2.5818128131001685E-3</v>
      </c>
      <c r="R204">
        <f t="shared" si="12"/>
        <v>3.8822743784774532E-3</v>
      </c>
    </row>
    <row r="205" spans="2:18" x14ac:dyDescent="0.25">
      <c r="B205" s="1">
        <v>46071</v>
      </c>
      <c r="C205">
        <f>LN(dane!B201/dane!B200)</f>
        <v>3.8044132268558908E-3</v>
      </c>
      <c r="D205">
        <f>LN(dane!C201/dane!C200)</f>
        <v>1.6799687764179696E-2</v>
      </c>
      <c r="E205">
        <f>LN(dane!D201/dane!D200)</f>
        <v>1.5196856717432114E-2</v>
      </c>
      <c r="F205">
        <f>LN(dane!E201/dane!E200)</f>
        <v>1.7349832793042492E-2</v>
      </c>
      <c r="G205">
        <f>LN(dane!F201/dane!F200)</f>
        <v>1.2025855069611169E-2</v>
      </c>
      <c r="P205" s="1">
        <f t="shared" si="10"/>
        <v>46071</v>
      </c>
      <c r="Q205">
        <f t="shared" si="11"/>
        <v>1.3035329114224274E-2</v>
      </c>
      <c r="R205">
        <f t="shared" si="12"/>
        <v>1.4127785408947118E-2</v>
      </c>
    </row>
    <row r="206" spans="2:18" x14ac:dyDescent="0.25">
      <c r="B206" s="1">
        <v>46072</v>
      </c>
      <c r="C206">
        <f>LN(dane!B202/dane!B201)</f>
        <v>1.26513728265088E-2</v>
      </c>
      <c r="D206">
        <f>LN(dane!C202/dane!C201)</f>
        <v>1.781493997344865E-2</v>
      </c>
      <c r="E206">
        <f>LN(dane!D202/dane!D201)</f>
        <v>-1.3866184531726781E-2</v>
      </c>
      <c r="F206">
        <f>LN(dane!E202/dane!E201)</f>
        <v>-1.9129608894339922E-3</v>
      </c>
      <c r="G206">
        <f>LN(dane!F202/dane!F201)</f>
        <v>6.5735651666544402E-3</v>
      </c>
      <c r="P206" s="1">
        <f t="shared" si="10"/>
        <v>46072</v>
      </c>
      <c r="Q206">
        <f t="shared" si="11"/>
        <v>4.252146509090224E-3</v>
      </c>
      <c r="R206">
        <f t="shared" si="12"/>
        <v>2.8668980210458019E-3</v>
      </c>
    </row>
    <row r="207" spans="2:18" x14ac:dyDescent="0.25">
      <c r="B207" s="1">
        <v>46073</v>
      </c>
      <c r="C207">
        <f>LN(dane!B203/dane!B202)</f>
        <v>7.9086528207761679E-3</v>
      </c>
      <c r="D207">
        <f>LN(dane!C203/dane!C202)</f>
        <v>8.6095571396521437E-4</v>
      </c>
      <c r="E207">
        <f>LN(dane!D203/dane!D202)</f>
        <v>6.626929487608858E-3</v>
      </c>
      <c r="F207">
        <f>LN(dane!E203/dane!E202)</f>
        <v>7.1548123010346625E-3</v>
      </c>
      <c r="G207">
        <f>LN(dane!F203/dane!F202)</f>
        <v>2.8624022815178021E-3</v>
      </c>
      <c r="P207" s="1">
        <f t="shared" si="10"/>
        <v>46073</v>
      </c>
      <c r="Q207">
        <f t="shared" si="11"/>
        <v>5.0827505209805413E-3</v>
      </c>
      <c r="R207">
        <f t="shared" si="12"/>
        <v>5.2602994071042301E-3</v>
      </c>
    </row>
    <row r="208" spans="2:18" x14ac:dyDescent="0.25">
      <c r="B208" s="1">
        <v>46076</v>
      </c>
      <c r="C208">
        <f>LN(dane!B204/dane!B203)</f>
        <v>1.6278167359688483E-2</v>
      </c>
      <c r="D208">
        <f>LN(dane!C204/dane!C203)</f>
        <v>6.433648612377163E-3</v>
      </c>
      <c r="E208">
        <f>LN(dane!D204/dane!D203)</f>
        <v>1.0839324388073076E-2</v>
      </c>
      <c r="F208">
        <f>LN(dane!E204/dane!E203)</f>
        <v>1.181209103587905E-2</v>
      </c>
      <c r="G208">
        <f>LN(dane!F204/dane!F203)</f>
        <v>1.0156496000265438E-2</v>
      </c>
      <c r="P208" s="1">
        <f t="shared" si="10"/>
        <v>46076</v>
      </c>
      <c r="Q208">
        <f t="shared" si="11"/>
        <v>1.1103945479256645E-2</v>
      </c>
      <c r="R208">
        <f t="shared" si="12"/>
        <v>1.1126899250445126E-2</v>
      </c>
    </row>
    <row r="209" spans="2:18" x14ac:dyDescent="0.25">
      <c r="B209" s="1">
        <v>46077</v>
      </c>
      <c r="C209">
        <f>LN(dane!B205/dane!B204)</f>
        <v>-1.4310738590843562E-2</v>
      </c>
      <c r="D209">
        <f>LN(dane!C205/dane!C204)</f>
        <v>-1.7249241820997446E-2</v>
      </c>
      <c r="E209">
        <f>LN(dane!D205/dane!D204)</f>
        <v>-2.1463594308302358E-2</v>
      </c>
      <c r="F209">
        <f>LN(dane!E205/dane!E204)</f>
        <v>-2.2323415718565234E-2</v>
      </c>
      <c r="G209">
        <f>LN(dane!F205/dane!F204)</f>
        <v>-1.7122309866375616E-2</v>
      </c>
      <c r="P209" s="1">
        <f t="shared" si="10"/>
        <v>46077</v>
      </c>
      <c r="Q209">
        <f t="shared" si="11"/>
        <v>-1.8493860061016842E-2</v>
      </c>
      <c r="R209">
        <f t="shared" si="12"/>
        <v>-1.9368416719353118E-2</v>
      </c>
    </row>
    <row r="210" spans="2:18" x14ac:dyDescent="0.25">
      <c r="B210" s="1">
        <v>46078</v>
      </c>
      <c r="C210">
        <f>LN(dane!B206/dane!B205)</f>
        <v>2.1603778209120905E-2</v>
      </c>
      <c r="D210">
        <f>LN(dane!C206/dane!C205)</f>
        <v>1.5109288083319834E-2</v>
      </c>
      <c r="E210">
        <f>LN(dane!D206/dane!D205)</f>
        <v>9.6330258278317458E-3</v>
      </c>
      <c r="F210">
        <f>LN(dane!E206/dane!E205)</f>
        <v>1.8087118491143968E-2</v>
      </c>
      <c r="G210">
        <f>LN(dane!F206/dane!F205)</f>
        <v>1.2327924306325744E-3</v>
      </c>
      <c r="P210" s="1">
        <f t="shared" si="10"/>
        <v>46078</v>
      </c>
      <c r="Q210">
        <f t="shared" si="11"/>
        <v>1.3133200608409805E-2</v>
      </c>
      <c r="R210">
        <f t="shared" si="12"/>
        <v>1.223929433767461E-2</v>
      </c>
    </row>
    <row r="211" spans="2:18" x14ac:dyDescent="0.25">
      <c r="B211" s="1">
        <v>46079</v>
      </c>
      <c r="C211">
        <f>LN(dane!B207/dane!B206)</f>
        <v>2.1369804547606179E-4</v>
      </c>
      <c r="D211">
        <f>LN(dane!C207/dane!C206)</f>
        <v>-2.2969590562113361E-2</v>
      </c>
      <c r="E211">
        <f>LN(dane!D207/dane!D206)</f>
        <v>-7.9655250245746819E-3</v>
      </c>
      <c r="F211">
        <f>LN(dane!E207/dane!E206)</f>
        <v>-9.47874395454377E-3</v>
      </c>
      <c r="G211">
        <f>LN(dane!F207/dane!F206)</f>
        <v>-4.1076196921765589E-4</v>
      </c>
      <c r="P211" s="1">
        <f t="shared" si="10"/>
        <v>46079</v>
      </c>
      <c r="Q211">
        <f t="shared" si="11"/>
        <v>-8.12218469299468E-3</v>
      </c>
      <c r="R211">
        <f t="shared" si="12"/>
        <v>-6.9868679267040034E-3</v>
      </c>
    </row>
    <row r="212" spans="2:18" x14ac:dyDescent="0.25">
      <c r="B212" s="1">
        <v>46080</v>
      </c>
      <c r="C212">
        <f>LN(dane!B208/dane!B207)</f>
        <v>-1.2254264923466936E-2</v>
      </c>
      <c r="D212">
        <f>LN(dane!C208/dane!C207)</f>
        <v>-8.3645656083223309E-3</v>
      </c>
      <c r="E212">
        <f>LN(dane!D208/dane!D207)</f>
        <v>-1.5108563372274767E-2</v>
      </c>
      <c r="F212">
        <f>LN(dane!E208/dane!E207)</f>
        <v>-1.583906402974607E-2</v>
      </c>
      <c r="G212">
        <f>LN(dane!F208/dane!F207)</f>
        <v>-1.7824306089147819E-2</v>
      </c>
      <c r="P212" s="1">
        <f t="shared" si="10"/>
        <v>46080</v>
      </c>
      <c r="Q212">
        <f t="shared" si="11"/>
        <v>-1.3878152804591587E-2</v>
      </c>
      <c r="R212">
        <f t="shared" si="12"/>
        <v>-1.5255656829049178E-2</v>
      </c>
    </row>
    <row r="213" spans="2:18" x14ac:dyDescent="0.25">
      <c r="B213" s="1">
        <v>46083</v>
      </c>
      <c r="C213">
        <f>LN(dane!B209/dane!B208)</f>
        <v>-3.7465818666522918E-2</v>
      </c>
      <c r="D213">
        <f>LN(dane!C209/dane!C208)</f>
        <v>-2.4615250419329417E-2</v>
      </c>
      <c r="E213">
        <f>LN(dane!D209/dane!D208)</f>
        <v>-1.534033832246919E-2</v>
      </c>
      <c r="F213">
        <f>LN(dane!E209/dane!E208)</f>
        <v>-3.3551280211718368E-2</v>
      </c>
      <c r="G213">
        <f>LN(dane!F209/dane!F208)</f>
        <v>-2.8421849486522866E-2</v>
      </c>
      <c r="P213" s="1">
        <f t="shared" si="10"/>
        <v>46083</v>
      </c>
      <c r="Q213">
        <f t="shared" si="11"/>
        <v>-2.7878907421312556E-2</v>
      </c>
      <c r="R213">
        <f t="shared" si="12"/>
        <v>-2.9689207671476363E-2</v>
      </c>
    </row>
    <row r="214" spans="2:18" x14ac:dyDescent="0.25">
      <c r="B214" s="1">
        <v>46084</v>
      </c>
      <c r="C214">
        <f>LN(dane!B210/dane!B209)</f>
        <v>-4.430886605828626E-2</v>
      </c>
      <c r="D214">
        <f>LN(dane!C210/dane!C209)</f>
        <v>-4.6843713562815616E-2</v>
      </c>
      <c r="E214">
        <f>LN(dane!D210/dane!D209)</f>
        <v>-4.2455068930212045E-2</v>
      </c>
      <c r="F214">
        <f>LN(dane!E210/dane!E209)</f>
        <v>-5.6605293698746777E-2</v>
      </c>
      <c r="G214">
        <f>LN(dane!F210/dane!F209)</f>
        <v>-5.8475469903895717E-2</v>
      </c>
      <c r="P214" s="1">
        <f t="shared" si="10"/>
        <v>46084</v>
      </c>
      <c r="Q214">
        <f t="shared" si="11"/>
        <v>-4.9737682430791283E-2</v>
      </c>
      <c r="R214">
        <f t="shared" si="12"/>
        <v>-5.3545523305798814E-2</v>
      </c>
    </row>
    <row r="215" spans="2:18" x14ac:dyDescent="0.25">
      <c r="B215" s="1">
        <v>46085</v>
      </c>
      <c r="C215">
        <f>LN(dane!B211/dane!B210)</f>
        <v>3.5058941109976795E-2</v>
      </c>
      <c r="D215">
        <f>LN(dane!C211/dane!C210)</f>
        <v>2.4391453124159263E-2</v>
      </c>
      <c r="E215">
        <f>LN(dane!D211/dane!D210)</f>
        <v>9.6308930609611456E-3</v>
      </c>
      <c r="F215">
        <f>LN(dane!E211/dane!E210)</f>
        <v>3.3117678241689284E-2</v>
      </c>
      <c r="G215">
        <f>LN(dane!F211/dane!F210)</f>
        <v>3.8044417995833517E-2</v>
      </c>
      <c r="P215" s="1">
        <f t="shared" si="10"/>
        <v>46085</v>
      </c>
      <c r="Q215">
        <f t="shared" si="11"/>
        <v>2.8048676706524001E-2</v>
      </c>
      <c r="R215">
        <f t="shared" si="12"/>
        <v>3.156852542493549E-2</v>
      </c>
    </row>
    <row r="216" spans="2:18" x14ac:dyDescent="0.25">
      <c r="B216" s="1">
        <v>46086</v>
      </c>
      <c r="C216">
        <f>LN(dane!B212/dane!B211)</f>
        <v>5.1995143702869354E-3</v>
      </c>
      <c r="D216">
        <f>LN(dane!C212/dane!C211)</f>
        <v>6.4665352357459139E-3</v>
      </c>
      <c r="E216">
        <f>LN(dane!D212/dane!D211)</f>
        <v>-7.1022730258180273E-4</v>
      </c>
      <c r="F216">
        <f>LN(dane!E212/dane!E211)</f>
        <v>-8.6420290938290008E-3</v>
      </c>
      <c r="G216">
        <f>LN(dane!F212/dane!F211)</f>
        <v>3.9447782910163251E-3</v>
      </c>
      <c r="P216" s="1">
        <f t="shared" si="10"/>
        <v>46086</v>
      </c>
      <c r="Q216">
        <f t="shared" si="11"/>
        <v>1.2517143001276746E-3</v>
      </c>
      <c r="R216">
        <f t="shared" si="12"/>
        <v>-1.1777959198815983E-3</v>
      </c>
    </row>
    <row r="217" spans="2:18" x14ac:dyDescent="0.25">
      <c r="B217" s="1">
        <v>46087</v>
      </c>
      <c r="C217">
        <f>LN(dane!B213/dane!B212)</f>
        <v>-4.7325622703356281E-2</v>
      </c>
      <c r="D217">
        <f>LN(dane!C213/dane!C212)</f>
        <v>-3.992077397662535E-2</v>
      </c>
      <c r="E217">
        <f>LN(dane!D213/dane!D212)</f>
        <v>-2.5910049636187503E-2</v>
      </c>
      <c r="F217">
        <f>LN(dane!E213/dane!E212)</f>
        <v>-3.2555642075710586E-2</v>
      </c>
      <c r="G217">
        <f>LN(dane!F213/dane!F212)</f>
        <v>-3.5622644541308222E-2</v>
      </c>
      <c r="P217" s="1">
        <f t="shared" si="10"/>
        <v>46087</v>
      </c>
      <c r="Q217">
        <f t="shared" si="11"/>
        <v>-3.6266946586637587E-2</v>
      </c>
      <c r="R217">
        <f t="shared" si="12"/>
        <v>-3.5024694824293615E-2</v>
      </c>
    </row>
    <row r="218" spans="2:18" x14ac:dyDescent="0.25">
      <c r="B218" s="1">
        <v>46090</v>
      </c>
      <c r="C218">
        <f>LN(dane!B214/dane!B213)</f>
        <v>5.6577237198588547E-3</v>
      </c>
      <c r="D218">
        <f>LN(dane!C214/dane!C213)</f>
        <v>-5.7664744124020298E-3</v>
      </c>
      <c r="E218">
        <f>LN(dane!D214/dane!D213)</f>
        <v>-6.2168786811252442E-3</v>
      </c>
      <c r="F218">
        <f>LN(dane!E214/dane!E213)</f>
        <v>6.5964703499499337E-3</v>
      </c>
      <c r="G218">
        <f>LN(dane!F214/dane!F213)</f>
        <v>-9.0702954064261494E-4</v>
      </c>
      <c r="P218" s="1">
        <f t="shared" si="10"/>
        <v>46090</v>
      </c>
      <c r="Q218">
        <f t="shared" si="11"/>
        <v>-1.2723771287222009E-4</v>
      </c>
      <c r="R218">
        <f t="shared" si="12"/>
        <v>1.7339163404203474E-3</v>
      </c>
    </row>
    <row r="219" spans="2:18" x14ac:dyDescent="0.25">
      <c r="B219" s="1">
        <v>46091</v>
      </c>
      <c r="C219">
        <f>LN(dane!B215/dane!B214)</f>
        <v>3.1469510309034485E-2</v>
      </c>
      <c r="D219">
        <f>LN(dane!C215/dane!C214)</f>
        <v>2.8505492997926259E-2</v>
      </c>
      <c r="E219">
        <f>LN(dane!D215/dane!D214)</f>
        <v>2.2489159623936637E-2</v>
      </c>
      <c r="F219">
        <f>LN(dane!E215/dane!E214)</f>
        <v>3.2755614322174983E-2</v>
      </c>
      <c r="G219">
        <f>LN(dane!F215/dane!F214)</f>
        <v>1.8876965025583427E-2</v>
      </c>
      <c r="P219" s="1">
        <f t="shared" si="10"/>
        <v>46091</v>
      </c>
      <c r="Q219">
        <f t="shared" si="11"/>
        <v>2.6819348455731157E-2</v>
      </c>
      <c r="R219">
        <f t="shared" si="12"/>
        <v>2.7011751529634757E-2</v>
      </c>
    </row>
    <row r="220" spans="2:18" x14ac:dyDescent="0.25">
      <c r="B220" s="1">
        <v>46092</v>
      </c>
      <c r="C220">
        <f>LN(dane!B216/dane!B215)</f>
        <v>-2.2805026987252177E-3</v>
      </c>
      <c r="D220">
        <f>LN(dane!C216/dane!C215)</f>
        <v>-5.6364639594687939E-3</v>
      </c>
      <c r="E220">
        <f>LN(dane!D216/dane!D215)</f>
        <v>0</v>
      </c>
      <c r="F220">
        <f>LN(dane!E216/dane!E215)</f>
        <v>6.1557404221461247E-4</v>
      </c>
      <c r="G220">
        <f>LN(dane!F216/dane!F215)</f>
        <v>-8.9446034628983991E-3</v>
      </c>
      <c r="P220" s="1">
        <f t="shared" si="10"/>
        <v>46092</v>
      </c>
      <c r="Q220">
        <f t="shared" si="11"/>
        <v>-3.2491992157755601E-3</v>
      </c>
      <c r="R220">
        <f t="shared" si="12"/>
        <v>-3.2288480878030759E-3</v>
      </c>
    </row>
    <row r="221" spans="2:18" x14ac:dyDescent="0.25">
      <c r="B221" s="1">
        <v>46093</v>
      </c>
      <c r="C221">
        <f>LN(dane!B217/dane!B216)</f>
        <v>-1.8201170586755491E-2</v>
      </c>
      <c r="D221">
        <f>LN(dane!C217/dane!C216)</f>
        <v>-1.470963651844269E-2</v>
      </c>
      <c r="E221">
        <f>LN(dane!D217/dane!D216)</f>
        <v>-7.5607920934886302E-3</v>
      </c>
      <c r="F221">
        <f>LN(dane!E217/dane!E216)</f>
        <v>-4.5230340267313884E-3</v>
      </c>
      <c r="G221">
        <f>LN(dane!F217/dane!F216)</f>
        <v>-1.5848192240023616E-2</v>
      </c>
      <c r="P221" s="1">
        <f t="shared" si="10"/>
        <v>46093</v>
      </c>
      <c r="Q221">
        <f t="shared" si="11"/>
        <v>-1.2168565093088364E-2</v>
      </c>
      <c r="R221">
        <f t="shared" si="12"/>
        <v>-1.0610831202568321E-2</v>
      </c>
    </row>
    <row r="222" spans="2:18" x14ac:dyDescent="0.25">
      <c r="B222" s="1">
        <v>46094</v>
      </c>
      <c r="C222">
        <f>LN(dane!B218/dane!B217)</f>
        <v>5.7957737292678706E-3</v>
      </c>
      <c r="D222">
        <f>LN(dane!C218/dane!C217)</f>
        <v>2.8639637714291608E-3</v>
      </c>
      <c r="E222">
        <f>LN(dane!D218/dane!D217)</f>
        <v>-9.4408834841399423E-3</v>
      </c>
      <c r="F222">
        <f>LN(dane!E218/dane!E217)</f>
        <v>-3.5091376705329259E-3</v>
      </c>
      <c r="G222">
        <f>LN(dane!F218/dane!F217)</f>
        <v>4.0992997509406741E-3</v>
      </c>
      <c r="P222" s="1">
        <f t="shared" si="10"/>
        <v>46094</v>
      </c>
      <c r="Q222">
        <f t="shared" si="11"/>
        <v>-3.819678060703255E-5</v>
      </c>
      <c r="R222">
        <f t="shared" si="12"/>
        <v>-2.5197974127525954E-4</v>
      </c>
    </row>
    <row r="223" spans="2:18" x14ac:dyDescent="0.25">
      <c r="B223" s="1">
        <v>46097</v>
      </c>
      <c r="C223">
        <f>LN(dane!B219/dane!B218)</f>
        <v>1.8475755833003565E-3</v>
      </c>
      <c r="D223">
        <f>LN(dane!C219/dane!C218)</f>
        <v>5.7034375138697111E-3</v>
      </c>
      <c r="E223">
        <f>LN(dane!D219/dane!D218)</f>
        <v>7.293946348174721E-4</v>
      </c>
      <c r="F223">
        <f>LN(dane!E219/dane!E218)</f>
        <v>5.9504937158405304E-2</v>
      </c>
      <c r="G223">
        <f>LN(dane!F219/dane!F218)</f>
        <v>-2.2753138371355394E-3</v>
      </c>
      <c r="P223" s="1">
        <f t="shared" si="10"/>
        <v>46097</v>
      </c>
      <c r="Q223">
        <f t="shared" si="11"/>
        <v>1.3102006210651461E-2</v>
      </c>
      <c r="R223">
        <f t="shared" si="12"/>
        <v>2.3947421485420214E-2</v>
      </c>
    </row>
    <row r="224" spans="2:18" x14ac:dyDescent="0.25">
      <c r="B224" s="1">
        <v>46098</v>
      </c>
      <c r="C224">
        <f>LN(dane!B220/dane!B219)</f>
        <v>1.2838323972912612E-2</v>
      </c>
      <c r="D224">
        <f>LN(dane!C220/dane!C219)</f>
        <v>3.5842794206655648E-2</v>
      </c>
      <c r="E224">
        <f>LN(dane!D220/dane!D219)</f>
        <v>2.0567205225691977E-2</v>
      </c>
      <c r="F224">
        <f>LN(dane!E220/dane!E219)</f>
        <v>2.5488275674987338E-2</v>
      </c>
      <c r="G224">
        <f>LN(dane!F220/dane!F219)</f>
        <v>3.0509320124265705E-2</v>
      </c>
      <c r="P224" s="1">
        <f t="shared" si="10"/>
        <v>46098</v>
      </c>
      <c r="Q224">
        <f t="shared" si="11"/>
        <v>2.5049183840902656E-2</v>
      </c>
      <c r="R224">
        <f t="shared" si="12"/>
        <v>2.627293864780067E-2</v>
      </c>
    </row>
    <row r="225" spans="2:18" x14ac:dyDescent="0.25">
      <c r="B225" s="1">
        <v>46099</v>
      </c>
      <c r="C225">
        <f>LN(dane!B221/dane!B220)</f>
        <v>7.4889717991097069E-3</v>
      </c>
      <c r="D225">
        <f>LN(dane!C221/dane!C220)</f>
        <v>-3.2058648936330817E-3</v>
      </c>
      <c r="E225">
        <f>LN(dane!D221/dane!D220)</f>
        <v>-7.1454093786876014E-4</v>
      </c>
      <c r="F225">
        <f>LN(dane!E221/dane!E220)</f>
        <v>-4.749465774390295E-4</v>
      </c>
      <c r="G225">
        <f>LN(dane!F221/dane!F220)</f>
        <v>-3.9849510338157623E-3</v>
      </c>
      <c r="P225" s="1">
        <f t="shared" si="10"/>
        <v>46099</v>
      </c>
      <c r="Q225">
        <f t="shared" si="11"/>
        <v>-1.782663287293854E-4</v>
      </c>
      <c r="R225">
        <f t="shared" si="12"/>
        <v>-1.0286073443595541E-3</v>
      </c>
    </row>
    <row r="226" spans="2:18" x14ac:dyDescent="0.25">
      <c r="B226" s="1">
        <v>46100</v>
      </c>
      <c r="C226">
        <f>LN(dane!B222/dane!B221)</f>
        <v>-1.7332246879534663E-2</v>
      </c>
      <c r="D226">
        <f>LN(dane!C222/dane!C221)</f>
        <v>-1.1534153245286519E-2</v>
      </c>
      <c r="E226">
        <f>LN(dane!D222/dane!D221)</f>
        <v>-7.1736319111373971E-3</v>
      </c>
      <c r="F226">
        <f>LN(dane!E222/dane!E221)</f>
        <v>4.7494657743897605E-4</v>
      </c>
      <c r="G226">
        <f>LN(dane!F222/dane!F221)</f>
        <v>-2.6524369090449897E-2</v>
      </c>
      <c r="P226" s="1">
        <f t="shared" si="10"/>
        <v>46100</v>
      </c>
      <c r="Q226">
        <f t="shared" si="11"/>
        <v>-1.2417890909793901E-2</v>
      </c>
      <c r="R226">
        <f t="shared" si="12"/>
        <v>-1.1371335299755236E-2</v>
      </c>
    </row>
    <row r="227" spans="2:18" x14ac:dyDescent="0.25">
      <c r="B227" s="1">
        <v>46101</v>
      </c>
      <c r="C227">
        <f>LN(dane!B223/dane!B222)</f>
        <v>-2.0216791725375875E-2</v>
      </c>
      <c r="D227">
        <f>LN(dane!C223/dane!C222)</f>
        <v>-1.9681984921791445E-2</v>
      </c>
      <c r="E227">
        <f>LN(dane!D223/dane!D222)</f>
        <v>-3.6003600748962144E-4</v>
      </c>
      <c r="F227">
        <f>LN(dane!E223/dane!E222)</f>
        <v>-1.0981251432948841E-2</v>
      </c>
      <c r="G227">
        <f>LN(dane!F223/dane!F222)</f>
        <v>-3.0529660615792178E-2</v>
      </c>
      <c r="P227" s="1">
        <f t="shared" si="10"/>
        <v>46101</v>
      </c>
      <c r="Q227">
        <f t="shared" si="11"/>
        <v>-1.6353944940679592E-2</v>
      </c>
      <c r="R227">
        <f t="shared" si="12"/>
        <v>-1.7577280023382887E-2</v>
      </c>
    </row>
    <row r="228" spans="2:18" x14ac:dyDescent="0.25">
      <c r="B228" s="1">
        <v>46104</v>
      </c>
      <c r="C228">
        <f>LN(dane!B224/dane!B223)</f>
        <v>2.6180112149504421E-2</v>
      </c>
      <c r="D228">
        <f>LN(dane!C224/dane!C223)</f>
        <v>1.1294237703090721E-2</v>
      </c>
      <c r="E228">
        <f>LN(dane!D224/dane!D223)</f>
        <v>3.0149472809596629E-2</v>
      </c>
      <c r="F228">
        <f>LN(dane!E224/dane!E223)</f>
        <v>1.4772725169211047E-2</v>
      </c>
      <c r="G228">
        <f>LN(dane!F224/dane!F223)</f>
        <v>2.6878355783288184E-2</v>
      </c>
      <c r="P228" s="1">
        <f t="shared" si="10"/>
        <v>46104</v>
      </c>
      <c r="Q228">
        <f t="shared" si="11"/>
        <v>2.1854980722938202E-2</v>
      </c>
      <c r="R228">
        <f t="shared" si="12"/>
        <v>2.0734979068890054E-2</v>
      </c>
    </row>
    <row r="229" spans="2:18" x14ac:dyDescent="0.25">
      <c r="B229" s="1">
        <v>46105</v>
      </c>
      <c r="C229">
        <f>LN(dane!B225/dane!B224)</f>
        <v>-2.0562119845281099E-2</v>
      </c>
      <c r="D229">
        <f>LN(dane!C225/dane!C224)</f>
        <v>-1.6513703882251238E-2</v>
      </c>
      <c r="E229">
        <f>LN(dane!D225/dane!D224)</f>
        <v>-1.301231653585481E-2</v>
      </c>
      <c r="F229">
        <f>LN(dane!E225/dane!E224)</f>
        <v>-8.5511209892501407E-3</v>
      </c>
      <c r="G229">
        <f>LN(dane!F225/dane!F224)</f>
        <v>-2.079076966907378E-2</v>
      </c>
      <c r="P229" s="1">
        <f t="shared" si="10"/>
        <v>46105</v>
      </c>
      <c r="Q229">
        <f t="shared" si="11"/>
        <v>-1.5886006184342213E-2</v>
      </c>
      <c r="R229">
        <f t="shared" si="12"/>
        <v>-1.4666493322760906E-2</v>
      </c>
    </row>
    <row r="230" spans="2:18" x14ac:dyDescent="0.25">
      <c r="B230" s="1">
        <v>46106</v>
      </c>
      <c r="C230">
        <f>LN(dane!B226/dane!B225)</f>
        <v>1.1372990172269981E-2</v>
      </c>
      <c r="D230">
        <f>LN(dane!C226/dane!C225)</f>
        <v>2.0250279925221042E-2</v>
      </c>
      <c r="E230">
        <f>LN(dane!D226/dane!D225)</f>
        <v>1.4408964807575898E-2</v>
      </c>
      <c r="F230">
        <f>LN(dane!E226/dane!E225)</f>
        <v>2.3574877749711079E-2</v>
      </c>
      <c r="G230">
        <f>LN(dane!F226/dane!F225)</f>
        <v>2.0790769669073689E-2</v>
      </c>
      <c r="P230" s="1">
        <f t="shared" si="10"/>
        <v>46106</v>
      </c>
      <c r="Q230">
        <f t="shared" si="11"/>
        <v>1.807957646477034E-2</v>
      </c>
      <c r="R230">
        <f t="shared" si="12"/>
        <v>2.0270405491113232E-2</v>
      </c>
    </row>
    <row r="231" spans="2:18" x14ac:dyDescent="0.25">
      <c r="B231" s="1">
        <v>46107</v>
      </c>
      <c r="C231">
        <f>LN(dane!B227/dane!B226)</f>
        <v>-1.3856815150244672E-3</v>
      </c>
      <c r="D231">
        <f>LN(dane!C227/dane!C226)</f>
        <v>-7.0175726586465346E-3</v>
      </c>
      <c r="E231">
        <f>LN(dane!D227/dane!D226)</f>
        <v>-3.8454862980066905E-3</v>
      </c>
      <c r="F231">
        <f>LN(dane!E227/dane!E226)</f>
        <v>4.6587468813722756E-4</v>
      </c>
      <c r="G231">
        <f>LN(dane!F227/dane!F226)</f>
        <v>-4.5735194028399226E-4</v>
      </c>
      <c r="P231" s="1">
        <f t="shared" si="10"/>
        <v>46107</v>
      </c>
      <c r="Q231">
        <f t="shared" si="11"/>
        <v>-2.4480435447648916E-3</v>
      </c>
      <c r="R231">
        <f t="shared" si="12"/>
        <v>-1.1757297539980757E-3</v>
      </c>
    </row>
    <row r="232" spans="2:18" x14ac:dyDescent="0.25">
      <c r="B232" s="1">
        <v>46108</v>
      </c>
      <c r="C232">
        <f>LN(dane!B228/dane!B227)</f>
        <v>-3.9365571270913767E-3</v>
      </c>
      <c r="D232">
        <f>LN(dane!C228/dane!C227)</f>
        <v>7.9495391753101486E-3</v>
      </c>
      <c r="E232">
        <f>LN(dane!D228/dane!D227)</f>
        <v>1.6328311354022483E-2</v>
      </c>
      <c r="F232">
        <f>LN(dane!E228/dane!E227)</f>
        <v>7.8868420875910662E-3</v>
      </c>
      <c r="G232">
        <f>LN(dane!F228/dane!F227)</f>
        <v>4.1086567727879409E-3</v>
      </c>
      <c r="P232" s="1">
        <f t="shared" si="10"/>
        <v>46108</v>
      </c>
      <c r="Q232">
        <f t="shared" si="11"/>
        <v>6.4673584525240524E-3</v>
      </c>
      <c r="R232">
        <f t="shared" si="12"/>
        <v>6.4214632070969356E-3</v>
      </c>
    </row>
    <row r="233" spans="2:18" x14ac:dyDescent="0.25">
      <c r="B233" s="1">
        <v>46111</v>
      </c>
      <c r="C233">
        <f>LN(dane!B229/dane!B228)</f>
        <v>-8.153801726932957E-3</v>
      </c>
      <c r="D233">
        <f>LN(dane!C229/dane!C228)</f>
        <v>-1.0299716520263817E-2</v>
      </c>
      <c r="E233">
        <f>LN(dane!D229/dane!D228)</f>
        <v>-1.422894039402276E-2</v>
      </c>
      <c r="F233">
        <f>LN(dane!E229/dane!E228)</f>
        <v>-1.4897854680636946E-2</v>
      </c>
      <c r="G233">
        <f>LN(dane!F229/dane!F228)</f>
        <v>-1.3676774413656592E-3</v>
      </c>
      <c r="P233" s="1">
        <f t="shared" si="10"/>
        <v>46111</v>
      </c>
      <c r="Q233">
        <f t="shared" si="11"/>
        <v>-9.7895981526444284E-3</v>
      </c>
      <c r="R233">
        <f t="shared" si="12"/>
        <v>-9.6376909687864304E-3</v>
      </c>
    </row>
    <row r="234" spans="2:18" x14ac:dyDescent="0.25">
      <c r="B234" s="1">
        <v>46112</v>
      </c>
      <c r="C234">
        <f>LN(dane!B230/dane!B229)</f>
        <v>1.5781251163961361E-2</v>
      </c>
      <c r="D234">
        <f>LN(dane!C230/dane!C229)</f>
        <v>2.3256862164267183E-2</v>
      </c>
      <c r="E234">
        <f>LN(dane!D230/dane!D229)</f>
        <v>1.8698605734482465E-2</v>
      </c>
      <c r="F234">
        <f>LN(dane!E230/dane!E229)</f>
        <v>1.2584645229072274E-2</v>
      </c>
      <c r="G234">
        <f>LN(dane!F230/dane!F229)</f>
        <v>9.5346919831435974E-3</v>
      </c>
      <c r="P234" s="1">
        <f t="shared" si="10"/>
        <v>46112</v>
      </c>
      <c r="Q234">
        <f t="shared" si="11"/>
        <v>1.5971211254985376E-2</v>
      </c>
      <c r="R234">
        <f t="shared" si="12"/>
        <v>1.366793759284309E-2</v>
      </c>
    </row>
    <row r="235" spans="2:18" x14ac:dyDescent="0.25">
      <c r="B235" s="1">
        <v>46113</v>
      </c>
      <c r="C235">
        <f>LN(dane!B231/dane!B230)</f>
        <v>2.9046743699158752E-2</v>
      </c>
      <c r="D235">
        <f>LN(dane!C231/dane!C230)</f>
        <v>2.7659890752205308E-2</v>
      </c>
      <c r="E235">
        <f>LN(dane!D231/dane!D230)</f>
        <v>2.8742468865653945E-2</v>
      </c>
      <c r="F235">
        <f>LN(dane!E231/dane!E230)</f>
        <v>6.23940278938937E-2</v>
      </c>
      <c r="G235">
        <f>LN(dane!F231/dane!F230)</f>
        <v>3.8560061866191334E-2</v>
      </c>
      <c r="P235" s="1">
        <f t="shared" si="10"/>
        <v>46113</v>
      </c>
      <c r="Q235">
        <f t="shared" si="11"/>
        <v>3.7280638615420601E-2</v>
      </c>
      <c r="R235">
        <f t="shared" si="12"/>
        <v>4.5070540049116675E-2</v>
      </c>
    </row>
    <row r="236" spans="2:18" x14ac:dyDescent="0.25">
      <c r="B236" s="1">
        <v>46114</v>
      </c>
      <c r="C236">
        <f>LN(dane!B232/dane!B231)</f>
        <v>6.465299524430426E-3</v>
      </c>
      <c r="D236">
        <f>LN(dane!C232/dane!C231)</f>
        <v>5.3523767385920606E-3</v>
      </c>
      <c r="E236">
        <f>LN(dane!D232/dane!D231)</f>
        <v>1.6652793190612488E-3</v>
      </c>
      <c r="F236">
        <f>LN(dane!E232/dane!E231)</f>
        <v>8.6655654909959245E-3</v>
      </c>
      <c r="G236">
        <f>LN(dane!F232/dane!F231)</f>
        <v>2.1715535135079325E-3</v>
      </c>
      <c r="P236" s="1">
        <f t="shared" si="10"/>
        <v>46114</v>
      </c>
      <c r="Q236">
        <f t="shared" si="11"/>
        <v>4.8640149173175187E-3</v>
      </c>
      <c r="R236">
        <f t="shared" si="12"/>
        <v>5.4659878086591234E-3</v>
      </c>
    </row>
    <row r="237" spans="2:18" x14ac:dyDescent="0.25">
      <c r="B237" s="1">
        <v>46119</v>
      </c>
      <c r="C237">
        <f>LN(dane!B233/dane!B232)</f>
        <v>1.0390278066599468E-2</v>
      </c>
      <c r="D237">
        <f>LN(dane!C233/dane!C232)</f>
        <v>5.3238812527497967E-3</v>
      </c>
      <c r="E237">
        <f>LN(dane!D233/dane!D232)</f>
        <v>8.2850515341068645E-3</v>
      </c>
      <c r="F237">
        <f>LN(dane!E233/dane!E232)</f>
        <v>-9.5362664602400039E-3</v>
      </c>
      <c r="G237">
        <f>LN(dane!F233/dane!F232)</f>
        <v>1.7338539237464778E-3</v>
      </c>
      <c r="P237" s="1">
        <f t="shared" si="10"/>
        <v>46119</v>
      </c>
      <c r="Q237">
        <f t="shared" si="11"/>
        <v>3.2393596633925209E-3</v>
      </c>
      <c r="R237">
        <f t="shared" si="12"/>
        <v>-8.9442932162644561E-4</v>
      </c>
    </row>
    <row r="238" spans="2:18" x14ac:dyDescent="0.25">
      <c r="B238" s="1">
        <v>46120</v>
      </c>
      <c r="C238">
        <f>LN(dane!B234/dane!B233)</f>
        <v>5.414824307097181E-2</v>
      </c>
      <c r="D238">
        <f>LN(dane!C234/dane!C233)</f>
        <v>6.4261934218369107E-2</v>
      </c>
      <c r="E238">
        <f>LN(dane!D234/dane!D233)</f>
        <v>5.9886628735611507E-2</v>
      </c>
      <c r="F238">
        <f>LN(dane!E234/dane!E233)</f>
        <v>8.9910770148632163E-2</v>
      </c>
      <c r="G238">
        <f>LN(dane!F234/dane!F233)</f>
        <v>7.0637252834592434E-2</v>
      </c>
      <c r="P238" s="1">
        <f t="shared" si="10"/>
        <v>46120</v>
      </c>
      <c r="Q238">
        <f t="shared" si="11"/>
        <v>6.7768965801635411E-2</v>
      </c>
      <c r="R238">
        <f t="shared" si="12"/>
        <v>7.4985164512325841E-2</v>
      </c>
    </row>
    <row r="239" spans="2:18" x14ac:dyDescent="0.25">
      <c r="B239" s="1">
        <v>46121</v>
      </c>
      <c r="C239">
        <f>LN(dane!B235/dane!B234)</f>
        <v>-4.0707743704814729E-3</v>
      </c>
      <c r="D239">
        <f>LN(dane!C235/dane!C234)</f>
        <v>-3.7414302634474457E-3</v>
      </c>
      <c r="E239">
        <f>LN(dane!D235/dane!D234)</f>
        <v>-5.9236338451266954E-3</v>
      </c>
      <c r="F239">
        <f>LN(dane!E235/dane!E234)</f>
        <v>-1.6861097966066441E-2</v>
      </c>
      <c r="G239">
        <f>LN(dane!F235/dane!F234)</f>
        <v>3.6253816143168366E-3</v>
      </c>
      <c r="P239" s="1">
        <f t="shared" si="10"/>
        <v>46121</v>
      </c>
      <c r="Q239">
        <f t="shared" si="11"/>
        <v>-5.3943109661610438E-3</v>
      </c>
      <c r="R239">
        <f t="shared" si="12"/>
        <v>-7.0304085500370872E-3</v>
      </c>
    </row>
    <row r="240" spans="2:18" x14ac:dyDescent="0.25">
      <c r="B240" s="1">
        <v>46122</v>
      </c>
      <c r="C240">
        <f>LN(dane!B236/dane!B235)</f>
        <v>3.736450246994507E-2</v>
      </c>
      <c r="D240">
        <f>LN(dane!C236/dane!C235)</f>
        <v>3.1566465967834509E-2</v>
      </c>
      <c r="E240">
        <f>LN(dane!D236/dane!D235)</f>
        <v>2.9273388982464729E-2</v>
      </c>
      <c r="F240">
        <f>LN(dane!E236/dane!E235)</f>
        <v>3.6179656577502259E-2</v>
      </c>
      <c r="G240">
        <f>LN(dane!F236/dane!F235)</f>
        <v>1.3181736702064281E-2</v>
      </c>
      <c r="P240" s="1">
        <f t="shared" si="10"/>
        <v>46122</v>
      </c>
      <c r="Q240">
        <f t="shared" si="11"/>
        <v>2.9513150139962176E-2</v>
      </c>
      <c r="R240">
        <f t="shared" si="12"/>
        <v>2.8246819383644622E-2</v>
      </c>
    </row>
  </sheetData>
  <mergeCells count="5">
    <mergeCell ref="P2:R3"/>
    <mergeCell ref="K5:L5"/>
    <mergeCell ref="K2:L3"/>
    <mergeCell ref="K9:L10"/>
    <mergeCell ref="D2:E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0844-90A5-4794-92B2-699FB8CA5903}">
  <dimension ref="F2:S240"/>
  <sheetViews>
    <sheetView tabSelected="1" zoomScaleNormal="100" workbookViewId="0">
      <selection activeCell="S28" sqref="S28"/>
    </sheetView>
  </sheetViews>
  <sheetFormatPr defaultRowHeight="15" x14ac:dyDescent="0.25"/>
  <cols>
    <col min="19" max="19" width="11" customWidth="1"/>
  </cols>
  <sheetData>
    <row r="2" spans="6:19" ht="15.75" thickBot="1" x14ac:dyDescent="0.3"/>
    <row r="3" spans="6:19" x14ac:dyDescent="0.25">
      <c r="F3" s="55" t="s">
        <v>16</v>
      </c>
      <c r="G3" s="59"/>
      <c r="H3" s="56"/>
      <c r="J3" s="55" t="s">
        <v>19</v>
      </c>
      <c r="K3" s="59"/>
      <c r="L3" s="56"/>
    </row>
    <row r="4" spans="6:19" ht="15.75" thickBot="1" x14ac:dyDescent="0.3">
      <c r="F4" s="57"/>
      <c r="G4" s="60"/>
      <c r="H4" s="58"/>
      <c r="J4" s="57"/>
      <c r="K4" s="60"/>
      <c r="L4" s="58"/>
    </row>
    <row r="5" spans="6:19" ht="15.75" thickBot="1" x14ac:dyDescent="0.3">
      <c r="S5" s="1"/>
    </row>
    <row r="6" spans="6:19" ht="15.75" thickBot="1" x14ac:dyDescent="0.3">
      <c r="F6" s="14" t="s">
        <v>18</v>
      </c>
      <c r="G6" s="15" t="s">
        <v>9</v>
      </c>
      <c r="H6" s="16" t="s">
        <v>17</v>
      </c>
      <c r="J6" s="14" t="s">
        <v>18</v>
      </c>
      <c r="K6" s="15" t="s">
        <v>9</v>
      </c>
      <c r="L6" s="16" t="s">
        <v>17</v>
      </c>
      <c r="S6" s="1"/>
    </row>
    <row r="7" spans="6:19" x14ac:dyDescent="0.25">
      <c r="F7" s="29">
        <v>0.95</v>
      </c>
      <c r="G7" s="30">
        <f>PERCENTILE(obliczenia!Q7:Q239,0.05)</f>
        <v>-2.4521435713901103E-2</v>
      </c>
      <c r="H7" s="30">
        <f>PERCENTILE(obliczenia!R7:R239,0.05)</f>
        <v>-2.4364853741510598E-2</v>
      </c>
      <c r="J7" s="29">
        <v>0.95</v>
      </c>
      <c r="K7" s="30">
        <f>_xlfn.STDEV.P(obliczenia!Q7:Q239)*(-1.645)</f>
        <v>-3.0057894818857508E-2</v>
      </c>
      <c r="L7" s="31">
        <f>_xlfn.STDEV.P(obliczenia!R7:R239)*(-1.645)</f>
        <v>-3.101006748551129E-2</v>
      </c>
      <c r="S7" s="1"/>
    </row>
    <row r="8" spans="6:19" ht="15.75" thickBot="1" x14ac:dyDescent="0.3">
      <c r="F8" s="27">
        <v>0.99</v>
      </c>
      <c r="G8" s="28">
        <f>PERCENTILE(obliczenia!Q7:Q239,0.01)</f>
        <v>-3.6712350072366388E-2</v>
      </c>
      <c r="H8" s="28">
        <f>PERCENTILE(obliczenia!R7:R239,0.01)</f>
        <v>-3.9222080139660394E-2</v>
      </c>
      <c r="J8" s="27">
        <v>0.99</v>
      </c>
      <c r="K8" s="32">
        <f>_xlfn.STDEV.P(obliczenia!Q7:Q239)*(-2.326)</f>
        <v>-4.2501315105569946E-2</v>
      </c>
      <c r="L8" s="33">
        <f>_xlfn.STDEV.P(obliczenia!R7:R239)*(-2.326)</f>
        <v>-4.3847669891367333E-2</v>
      </c>
      <c r="S8" s="1"/>
    </row>
    <row r="9" spans="6:19" x14ac:dyDescent="0.25">
      <c r="F9" s="37"/>
      <c r="G9" s="38"/>
      <c r="H9" s="38"/>
      <c r="J9" s="37"/>
      <c r="K9" s="38"/>
      <c r="L9" s="38"/>
      <c r="S9" s="1"/>
    </row>
    <row r="10" spans="6:19" x14ac:dyDescent="0.25">
      <c r="S10" s="1"/>
    </row>
    <row r="11" spans="6:19" x14ac:dyDescent="0.25">
      <c r="S11" s="1"/>
    </row>
    <row r="12" spans="6:19" x14ac:dyDescent="0.25">
      <c r="S12" s="1"/>
    </row>
    <row r="13" spans="6:19" x14ac:dyDescent="0.25">
      <c r="S13" s="1"/>
    </row>
    <row r="14" spans="6:19" x14ac:dyDescent="0.25">
      <c r="S14" s="1"/>
    </row>
    <row r="15" spans="6:19" x14ac:dyDescent="0.25">
      <c r="S15" s="1"/>
    </row>
    <row r="16" spans="6:19" x14ac:dyDescent="0.25">
      <c r="S16" s="1"/>
    </row>
    <row r="17" spans="19:19" x14ac:dyDescent="0.25">
      <c r="S17" s="1"/>
    </row>
    <row r="18" spans="19:19" x14ac:dyDescent="0.25">
      <c r="S18" s="1"/>
    </row>
    <row r="19" spans="19:19" x14ac:dyDescent="0.25">
      <c r="S19" s="1"/>
    </row>
    <row r="20" spans="19:19" x14ac:dyDescent="0.25">
      <c r="S20" s="1"/>
    </row>
    <row r="21" spans="19:19" x14ac:dyDescent="0.25">
      <c r="S21" s="1"/>
    </row>
    <row r="22" spans="19:19" x14ac:dyDescent="0.25">
      <c r="S22" s="1"/>
    </row>
    <row r="23" spans="19:19" x14ac:dyDescent="0.25">
      <c r="S23" s="1"/>
    </row>
    <row r="24" spans="19:19" x14ac:dyDescent="0.25">
      <c r="S24" s="1"/>
    </row>
    <row r="25" spans="19:19" x14ac:dyDescent="0.25">
      <c r="S25" s="1"/>
    </row>
    <row r="26" spans="19:19" x14ac:dyDescent="0.25">
      <c r="S26" s="1"/>
    </row>
    <row r="27" spans="19:19" x14ac:dyDescent="0.25">
      <c r="S27" s="1"/>
    </row>
    <row r="28" spans="19:19" x14ac:dyDescent="0.25">
      <c r="S28" s="1"/>
    </row>
    <row r="29" spans="19:19" x14ac:dyDescent="0.25">
      <c r="S29" s="1"/>
    </row>
    <row r="30" spans="19:19" x14ac:dyDescent="0.25">
      <c r="S30" s="1"/>
    </row>
    <row r="31" spans="19:19" x14ac:dyDescent="0.25">
      <c r="S31" s="1"/>
    </row>
    <row r="32" spans="19:19" x14ac:dyDescent="0.25">
      <c r="S32" s="1"/>
    </row>
    <row r="33" spans="19:19" x14ac:dyDescent="0.25">
      <c r="S33" s="1"/>
    </row>
    <row r="34" spans="19:19" x14ac:dyDescent="0.25">
      <c r="S34" s="1"/>
    </row>
    <row r="35" spans="19:19" x14ac:dyDescent="0.25">
      <c r="S35" s="1"/>
    </row>
    <row r="36" spans="19:19" x14ac:dyDescent="0.25">
      <c r="S36" s="1"/>
    </row>
    <row r="37" spans="19:19" x14ac:dyDescent="0.25">
      <c r="S37" s="1"/>
    </row>
    <row r="38" spans="19:19" x14ac:dyDescent="0.25">
      <c r="S38" s="1"/>
    </row>
    <row r="39" spans="19:19" x14ac:dyDescent="0.25">
      <c r="S39" s="1"/>
    </row>
    <row r="40" spans="19:19" x14ac:dyDescent="0.25">
      <c r="S40" s="1"/>
    </row>
    <row r="41" spans="19:19" x14ac:dyDescent="0.25">
      <c r="S41" s="1"/>
    </row>
    <row r="42" spans="19:19" x14ac:dyDescent="0.25">
      <c r="S42" s="1"/>
    </row>
    <row r="43" spans="19:19" x14ac:dyDescent="0.25">
      <c r="S43" s="1"/>
    </row>
    <row r="44" spans="19:19" x14ac:dyDescent="0.25">
      <c r="S44" s="1"/>
    </row>
    <row r="45" spans="19:19" x14ac:dyDescent="0.25">
      <c r="S45" s="1"/>
    </row>
    <row r="46" spans="19:19" x14ac:dyDescent="0.25">
      <c r="S46" s="1"/>
    </row>
    <row r="47" spans="19:19" x14ac:dyDescent="0.25">
      <c r="S47" s="1"/>
    </row>
    <row r="48" spans="19:19" x14ac:dyDescent="0.25">
      <c r="S48" s="1"/>
    </row>
    <row r="49" spans="19:19" x14ac:dyDescent="0.25">
      <c r="S49" s="1"/>
    </row>
    <row r="50" spans="19:19" x14ac:dyDescent="0.25">
      <c r="S50" s="1"/>
    </row>
    <row r="51" spans="19:19" x14ac:dyDescent="0.25">
      <c r="S51" s="1"/>
    </row>
    <row r="52" spans="19:19" x14ac:dyDescent="0.25">
      <c r="S52" s="1"/>
    </row>
    <row r="53" spans="19:19" x14ac:dyDescent="0.25">
      <c r="S53" s="1"/>
    </row>
    <row r="54" spans="19:19" x14ac:dyDescent="0.25">
      <c r="S54" s="1"/>
    </row>
    <row r="55" spans="19:19" x14ac:dyDescent="0.25">
      <c r="S55" s="1"/>
    </row>
    <row r="56" spans="19:19" x14ac:dyDescent="0.25">
      <c r="S56" s="1"/>
    </row>
    <row r="57" spans="19:19" x14ac:dyDescent="0.25">
      <c r="S57" s="1"/>
    </row>
    <row r="58" spans="19:19" x14ac:dyDescent="0.25">
      <c r="S58" s="1"/>
    </row>
    <row r="59" spans="19:19" x14ac:dyDescent="0.25">
      <c r="S59" s="1"/>
    </row>
    <row r="60" spans="19:19" x14ac:dyDescent="0.25">
      <c r="S60" s="1"/>
    </row>
    <row r="61" spans="19:19" x14ac:dyDescent="0.25">
      <c r="S61" s="1"/>
    </row>
    <row r="62" spans="19:19" x14ac:dyDescent="0.25">
      <c r="S62" s="1"/>
    </row>
    <row r="63" spans="19:19" x14ac:dyDescent="0.25">
      <c r="S63" s="1"/>
    </row>
    <row r="64" spans="19:19" x14ac:dyDescent="0.25">
      <c r="S64" s="1"/>
    </row>
    <row r="65" spans="19:19" x14ac:dyDescent="0.25">
      <c r="S65" s="1"/>
    </row>
    <row r="66" spans="19:19" x14ac:dyDescent="0.25">
      <c r="S66" s="1"/>
    </row>
    <row r="67" spans="19:19" x14ac:dyDescent="0.25">
      <c r="S67" s="1"/>
    </row>
    <row r="68" spans="19:19" x14ac:dyDescent="0.25">
      <c r="S68" s="1"/>
    </row>
    <row r="69" spans="19:19" x14ac:dyDescent="0.25">
      <c r="S69" s="1"/>
    </row>
    <row r="70" spans="19:19" x14ac:dyDescent="0.25">
      <c r="S70" s="1"/>
    </row>
    <row r="71" spans="19:19" x14ac:dyDescent="0.25">
      <c r="S71" s="1"/>
    </row>
    <row r="72" spans="19:19" x14ac:dyDescent="0.25">
      <c r="S72" s="1"/>
    </row>
    <row r="73" spans="19:19" x14ac:dyDescent="0.25">
      <c r="S73" s="1"/>
    </row>
    <row r="74" spans="19:19" x14ac:dyDescent="0.25">
      <c r="S74" s="1"/>
    </row>
    <row r="75" spans="19:19" x14ac:dyDescent="0.25">
      <c r="S75" s="1"/>
    </row>
    <row r="76" spans="19:19" x14ac:dyDescent="0.25">
      <c r="S76" s="1"/>
    </row>
    <row r="77" spans="19:19" x14ac:dyDescent="0.25">
      <c r="S77" s="1"/>
    </row>
    <row r="78" spans="19:19" x14ac:dyDescent="0.25">
      <c r="S78" s="1"/>
    </row>
    <row r="79" spans="19:19" x14ac:dyDescent="0.25">
      <c r="S79" s="1"/>
    </row>
    <row r="80" spans="19:19" x14ac:dyDescent="0.25">
      <c r="S80" s="1"/>
    </row>
    <row r="81" spans="19:19" x14ac:dyDescent="0.25">
      <c r="S81" s="1"/>
    </row>
    <row r="82" spans="19:19" x14ac:dyDescent="0.25">
      <c r="S82" s="1"/>
    </row>
    <row r="83" spans="19:19" x14ac:dyDescent="0.25">
      <c r="S83" s="1"/>
    </row>
    <row r="84" spans="19:19" x14ac:dyDescent="0.25">
      <c r="S84" s="1"/>
    </row>
    <row r="85" spans="19:19" x14ac:dyDescent="0.25">
      <c r="S85" s="1"/>
    </row>
    <row r="86" spans="19:19" x14ac:dyDescent="0.25">
      <c r="S86" s="1"/>
    </row>
    <row r="87" spans="19:19" x14ac:dyDescent="0.25">
      <c r="S87" s="1"/>
    </row>
    <row r="88" spans="19:19" x14ac:dyDescent="0.25">
      <c r="S88" s="1"/>
    </row>
    <row r="89" spans="19:19" x14ac:dyDescent="0.25">
      <c r="S89" s="1"/>
    </row>
    <row r="90" spans="19:19" x14ac:dyDescent="0.25">
      <c r="S90" s="1"/>
    </row>
    <row r="91" spans="19:19" x14ac:dyDescent="0.25">
      <c r="S91" s="1"/>
    </row>
    <row r="92" spans="19:19" x14ac:dyDescent="0.25">
      <c r="S92" s="1"/>
    </row>
    <row r="93" spans="19:19" x14ac:dyDescent="0.25">
      <c r="S93" s="1"/>
    </row>
    <row r="94" spans="19:19" x14ac:dyDescent="0.25">
      <c r="S94" s="1"/>
    </row>
    <row r="95" spans="19:19" x14ac:dyDescent="0.25">
      <c r="S95" s="1"/>
    </row>
    <row r="96" spans="19:19" x14ac:dyDescent="0.25">
      <c r="S96" s="1"/>
    </row>
    <row r="97" spans="19:19" x14ac:dyDescent="0.25">
      <c r="S97" s="1"/>
    </row>
    <row r="98" spans="19:19" x14ac:dyDescent="0.25">
      <c r="S98" s="1"/>
    </row>
    <row r="99" spans="19:19" x14ac:dyDescent="0.25">
      <c r="S99" s="1"/>
    </row>
    <row r="100" spans="19:19" x14ac:dyDescent="0.25">
      <c r="S100" s="1"/>
    </row>
    <row r="101" spans="19:19" x14ac:dyDescent="0.25">
      <c r="S101" s="1"/>
    </row>
    <row r="102" spans="19:19" x14ac:dyDescent="0.25">
      <c r="S102" s="1"/>
    </row>
    <row r="103" spans="19:19" x14ac:dyDescent="0.25">
      <c r="S103" s="1"/>
    </row>
    <row r="104" spans="19:19" x14ac:dyDescent="0.25">
      <c r="S104" s="1"/>
    </row>
    <row r="105" spans="19:19" x14ac:dyDescent="0.25">
      <c r="S105" s="1"/>
    </row>
    <row r="106" spans="19:19" x14ac:dyDescent="0.25">
      <c r="S106" s="1"/>
    </row>
    <row r="107" spans="19:19" x14ac:dyDescent="0.25">
      <c r="S107" s="1"/>
    </row>
    <row r="108" spans="19:19" x14ac:dyDescent="0.25">
      <c r="S108" s="1"/>
    </row>
    <row r="109" spans="19:19" x14ac:dyDescent="0.25">
      <c r="S109" s="1"/>
    </row>
    <row r="110" spans="19:19" x14ac:dyDescent="0.25">
      <c r="S110" s="1"/>
    </row>
    <row r="111" spans="19:19" x14ac:dyDescent="0.25">
      <c r="S111" s="1"/>
    </row>
    <row r="112" spans="19:19" x14ac:dyDescent="0.25">
      <c r="S112" s="1"/>
    </row>
    <row r="113" spans="19:19" x14ac:dyDescent="0.25">
      <c r="S113" s="1"/>
    </row>
    <row r="114" spans="19:19" x14ac:dyDescent="0.25">
      <c r="S114" s="1"/>
    </row>
    <row r="115" spans="19:19" x14ac:dyDescent="0.25">
      <c r="S115" s="1"/>
    </row>
    <row r="116" spans="19:19" x14ac:dyDescent="0.25">
      <c r="S116" s="1"/>
    </row>
    <row r="117" spans="19:19" x14ac:dyDescent="0.25">
      <c r="S117" s="1"/>
    </row>
    <row r="118" spans="19:19" x14ac:dyDescent="0.25">
      <c r="S118" s="1"/>
    </row>
    <row r="119" spans="19:19" x14ac:dyDescent="0.25">
      <c r="S119" s="1"/>
    </row>
    <row r="120" spans="19:19" x14ac:dyDescent="0.25">
      <c r="S120" s="1"/>
    </row>
    <row r="121" spans="19:19" x14ac:dyDescent="0.25">
      <c r="S121" s="1"/>
    </row>
    <row r="122" spans="19:19" x14ac:dyDescent="0.25">
      <c r="S122" s="1"/>
    </row>
    <row r="123" spans="19:19" x14ac:dyDescent="0.25">
      <c r="S123" s="1"/>
    </row>
    <row r="124" spans="19:19" x14ac:dyDescent="0.25">
      <c r="S124" s="1"/>
    </row>
    <row r="125" spans="19:19" x14ac:dyDescent="0.25">
      <c r="S125" s="1"/>
    </row>
    <row r="126" spans="19:19" x14ac:dyDescent="0.25">
      <c r="S126" s="1"/>
    </row>
    <row r="127" spans="19:19" x14ac:dyDescent="0.25">
      <c r="S127" s="1"/>
    </row>
    <row r="128" spans="19:19" x14ac:dyDescent="0.25">
      <c r="S128" s="1"/>
    </row>
    <row r="129" spans="19:19" x14ac:dyDescent="0.25">
      <c r="S129" s="1"/>
    </row>
    <row r="130" spans="19:19" x14ac:dyDescent="0.25">
      <c r="S130" s="1"/>
    </row>
    <row r="131" spans="19:19" x14ac:dyDescent="0.25">
      <c r="S131" s="1"/>
    </row>
    <row r="132" spans="19:19" x14ac:dyDescent="0.25">
      <c r="S132" s="1"/>
    </row>
    <row r="133" spans="19:19" x14ac:dyDescent="0.25">
      <c r="S133" s="1"/>
    </row>
    <row r="134" spans="19:19" x14ac:dyDescent="0.25">
      <c r="S134" s="1"/>
    </row>
    <row r="135" spans="19:19" x14ac:dyDescent="0.25">
      <c r="S135" s="1"/>
    </row>
    <row r="136" spans="19:19" x14ac:dyDescent="0.25">
      <c r="S136" s="1"/>
    </row>
    <row r="137" spans="19:19" x14ac:dyDescent="0.25">
      <c r="S137" s="1"/>
    </row>
    <row r="138" spans="19:19" x14ac:dyDescent="0.25">
      <c r="S138" s="1"/>
    </row>
    <row r="139" spans="19:19" x14ac:dyDescent="0.25">
      <c r="S139" s="1"/>
    </row>
    <row r="140" spans="19:19" x14ac:dyDescent="0.25">
      <c r="S140" s="1"/>
    </row>
    <row r="141" spans="19:19" x14ac:dyDescent="0.25">
      <c r="S141" s="1"/>
    </row>
    <row r="142" spans="19:19" x14ac:dyDescent="0.25">
      <c r="S142" s="1"/>
    </row>
    <row r="143" spans="19:19" x14ac:dyDescent="0.25">
      <c r="S143" s="1"/>
    </row>
    <row r="144" spans="19:19" x14ac:dyDescent="0.25">
      <c r="S144" s="1"/>
    </row>
    <row r="145" spans="19:19" x14ac:dyDescent="0.25">
      <c r="S145" s="1"/>
    </row>
    <row r="146" spans="19:19" x14ac:dyDescent="0.25">
      <c r="S146" s="1"/>
    </row>
    <row r="147" spans="19:19" x14ac:dyDescent="0.25">
      <c r="S147" s="1"/>
    </row>
    <row r="148" spans="19:19" x14ac:dyDescent="0.25">
      <c r="S148" s="1"/>
    </row>
    <row r="149" spans="19:19" x14ac:dyDescent="0.25">
      <c r="S149" s="1"/>
    </row>
    <row r="150" spans="19:19" x14ac:dyDescent="0.25">
      <c r="S150" s="1"/>
    </row>
    <row r="151" spans="19:19" x14ac:dyDescent="0.25">
      <c r="S151" s="1"/>
    </row>
    <row r="152" spans="19:19" x14ac:dyDescent="0.25">
      <c r="S152" s="1"/>
    </row>
    <row r="153" spans="19:19" x14ac:dyDescent="0.25">
      <c r="S153" s="1"/>
    </row>
    <row r="154" spans="19:19" x14ac:dyDescent="0.25">
      <c r="S154" s="1"/>
    </row>
    <row r="155" spans="19:19" x14ac:dyDescent="0.25">
      <c r="S155" s="1"/>
    </row>
    <row r="156" spans="19:19" x14ac:dyDescent="0.25">
      <c r="S156" s="1"/>
    </row>
    <row r="157" spans="19:19" x14ac:dyDescent="0.25">
      <c r="S157" s="1"/>
    </row>
    <row r="158" spans="19:19" x14ac:dyDescent="0.25">
      <c r="S158" s="1"/>
    </row>
    <row r="159" spans="19:19" x14ac:dyDescent="0.25">
      <c r="S159" s="1"/>
    </row>
    <row r="160" spans="19:19" x14ac:dyDescent="0.25">
      <c r="S160" s="1"/>
    </row>
    <row r="161" spans="19:19" x14ac:dyDescent="0.25">
      <c r="S161" s="1"/>
    </row>
    <row r="162" spans="19:19" x14ac:dyDescent="0.25">
      <c r="S162" s="1"/>
    </row>
    <row r="163" spans="19:19" x14ac:dyDescent="0.25">
      <c r="S163" s="1"/>
    </row>
    <row r="164" spans="19:19" x14ac:dyDescent="0.25">
      <c r="S164" s="1"/>
    </row>
    <row r="165" spans="19:19" x14ac:dyDescent="0.25">
      <c r="S165" s="1"/>
    </row>
    <row r="166" spans="19:19" x14ac:dyDescent="0.25">
      <c r="S166" s="1"/>
    </row>
    <row r="167" spans="19:19" x14ac:dyDescent="0.25">
      <c r="S167" s="1"/>
    </row>
    <row r="168" spans="19:19" x14ac:dyDescent="0.25">
      <c r="S168" s="1"/>
    </row>
    <row r="169" spans="19:19" x14ac:dyDescent="0.25">
      <c r="S169" s="1"/>
    </row>
    <row r="170" spans="19:19" x14ac:dyDescent="0.25">
      <c r="S170" s="1"/>
    </row>
    <row r="171" spans="19:19" x14ac:dyDescent="0.25">
      <c r="S171" s="1"/>
    </row>
    <row r="172" spans="19:19" x14ac:dyDescent="0.25">
      <c r="S172" s="1"/>
    </row>
    <row r="173" spans="19:19" x14ac:dyDescent="0.25">
      <c r="S173" s="1"/>
    </row>
    <row r="174" spans="19:19" x14ac:dyDescent="0.25">
      <c r="S174" s="1"/>
    </row>
    <row r="175" spans="19:19" x14ac:dyDescent="0.25">
      <c r="S175" s="1"/>
    </row>
    <row r="176" spans="19:19" x14ac:dyDescent="0.25">
      <c r="S176" s="1"/>
    </row>
    <row r="177" spans="19:19" x14ac:dyDescent="0.25">
      <c r="S177" s="1"/>
    </row>
    <row r="178" spans="19:19" x14ac:dyDescent="0.25">
      <c r="S178" s="1"/>
    </row>
    <row r="179" spans="19:19" x14ac:dyDescent="0.25">
      <c r="S179" s="1"/>
    </row>
    <row r="180" spans="19:19" x14ac:dyDescent="0.25">
      <c r="S180" s="1"/>
    </row>
    <row r="181" spans="19:19" x14ac:dyDescent="0.25">
      <c r="S181" s="1"/>
    </row>
    <row r="182" spans="19:19" x14ac:dyDescent="0.25">
      <c r="S182" s="1"/>
    </row>
    <row r="183" spans="19:19" x14ac:dyDescent="0.25">
      <c r="S183" s="1"/>
    </row>
    <row r="184" spans="19:19" x14ac:dyDescent="0.25">
      <c r="S184" s="1"/>
    </row>
    <row r="185" spans="19:19" x14ac:dyDescent="0.25">
      <c r="S185" s="1"/>
    </row>
    <row r="186" spans="19:19" x14ac:dyDescent="0.25">
      <c r="S186" s="1"/>
    </row>
    <row r="187" spans="19:19" x14ac:dyDescent="0.25">
      <c r="S187" s="1"/>
    </row>
    <row r="188" spans="19:19" x14ac:dyDescent="0.25">
      <c r="S188" s="1"/>
    </row>
    <row r="189" spans="19:19" x14ac:dyDescent="0.25">
      <c r="S189" s="1"/>
    </row>
    <row r="190" spans="19:19" x14ac:dyDescent="0.25">
      <c r="S190" s="1"/>
    </row>
    <row r="191" spans="19:19" x14ac:dyDescent="0.25">
      <c r="S191" s="1"/>
    </row>
    <row r="192" spans="19:19" x14ac:dyDescent="0.25">
      <c r="S192" s="1"/>
    </row>
    <row r="193" spans="19:19" x14ac:dyDescent="0.25">
      <c r="S193" s="1"/>
    </row>
    <row r="194" spans="19:19" x14ac:dyDescent="0.25">
      <c r="S194" s="1"/>
    </row>
    <row r="195" spans="19:19" x14ac:dyDescent="0.25">
      <c r="S195" s="1"/>
    </row>
    <row r="196" spans="19:19" x14ac:dyDescent="0.25">
      <c r="S196" s="1"/>
    </row>
    <row r="197" spans="19:19" x14ac:dyDescent="0.25">
      <c r="S197" s="1"/>
    </row>
    <row r="198" spans="19:19" x14ac:dyDescent="0.25">
      <c r="S198" s="1"/>
    </row>
    <row r="199" spans="19:19" x14ac:dyDescent="0.25">
      <c r="S199" s="1"/>
    </row>
    <row r="200" spans="19:19" x14ac:dyDescent="0.25">
      <c r="S200" s="1"/>
    </row>
    <row r="201" spans="19:19" x14ac:dyDescent="0.25">
      <c r="S201" s="1"/>
    </row>
    <row r="202" spans="19:19" x14ac:dyDescent="0.25">
      <c r="S202" s="1"/>
    </row>
    <row r="203" spans="19:19" x14ac:dyDescent="0.25">
      <c r="S203" s="1"/>
    </row>
    <row r="204" spans="19:19" x14ac:dyDescent="0.25">
      <c r="S204" s="1"/>
    </row>
    <row r="205" spans="19:19" x14ac:dyDescent="0.25">
      <c r="S205" s="1"/>
    </row>
    <row r="206" spans="19:19" x14ac:dyDescent="0.25">
      <c r="S206" s="1"/>
    </row>
    <row r="207" spans="19:19" x14ac:dyDescent="0.25">
      <c r="S207" s="1"/>
    </row>
    <row r="208" spans="19:19" x14ac:dyDescent="0.25">
      <c r="S208" s="1"/>
    </row>
    <row r="209" spans="19:19" x14ac:dyDescent="0.25">
      <c r="S209" s="1"/>
    </row>
    <row r="210" spans="19:19" x14ac:dyDescent="0.25">
      <c r="S210" s="1"/>
    </row>
    <row r="211" spans="19:19" x14ac:dyDescent="0.25">
      <c r="S211" s="1"/>
    </row>
    <row r="212" spans="19:19" x14ac:dyDescent="0.25">
      <c r="S212" s="1"/>
    </row>
    <row r="213" spans="19:19" x14ac:dyDescent="0.25">
      <c r="S213" s="1"/>
    </row>
    <row r="214" spans="19:19" x14ac:dyDescent="0.25">
      <c r="S214" s="1"/>
    </row>
    <row r="215" spans="19:19" x14ac:dyDescent="0.25">
      <c r="S215" s="1"/>
    </row>
    <row r="216" spans="19:19" x14ac:dyDescent="0.25">
      <c r="S216" s="1"/>
    </row>
    <row r="217" spans="19:19" x14ac:dyDescent="0.25">
      <c r="S217" s="1"/>
    </row>
    <row r="218" spans="19:19" x14ac:dyDescent="0.25">
      <c r="S218" s="1"/>
    </row>
    <row r="219" spans="19:19" x14ac:dyDescent="0.25">
      <c r="S219" s="1"/>
    </row>
    <row r="220" spans="19:19" x14ac:dyDescent="0.25">
      <c r="S220" s="1"/>
    </row>
    <row r="221" spans="19:19" x14ac:dyDescent="0.25">
      <c r="S221" s="1"/>
    </row>
    <row r="222" spans="19:19" x14ac:dyDescent="0.25">
      <c r="S222" s="1"/>
    </row>
    <row r="223" spans="19:19" x14ac:dyDescent="0.25">
      <c r="S223" s="1"/>
    </row>
    <row r="224" spans="19:19" x14ac:dyDescent="0.25">
      <c r="S224" s="1"/>
    </row>
    <row r="225" spans="19:19" x14ac:dyDescent="0.25">
      <c r="S225" s="1"/>
    </row>
    <row r="226" spans="19:19" x14ac:dyDescent="0.25">
      <c r="S226" s="1"/>
    </row>
    <row r="227" spans="19:19" x14ac:dyDescent="0.25">
      <c r="S227" s="1"/>
    </row>
    <row r="228" spans="19:19" x14ac:dyDescent="0.25">
      <c r="S228" s="1"/>
    </row>
    <row r="229" spans="19:19" x14ac:dyDescent="0.25">
      <c r="S229" s="1"/>
    </row>
    <row r="230" spans="19:19" x14ac:dyDescent="0.25">
      <c r="S230" s="1"/>
    </row>
    <row r="231" spans="19:19" x14ac:dyDescent="0.25">
      <c r="S231" s="1"/>
    </row>
    <row r="232" spans="19:19" x14ac:dyDescent="0.25">
      <c r="S232" s="1"/>
    </row>
    <row r="233" spans="19:19" x14ac:dyDescent="0.25">
      <c r="S233" s="1"/>
    </row>
    <row r="234" spans="19:19" x14ac:dyDescent="0.25">
      <c r="S234" s="1"/>
    </row>
    <row r="235" spans="19:19" x14ac:dyDescent="0.25">
      <c r="S235" s="1"/>
    </row>
    <row r="236" spans="19:19" x14ac:dyDescent="0.25">
      <c r="S236" s="1"/>
    </row>
    <row r="237" spans="19:19" x14ac:dyDescent="0.25">
      <c r="S237" s="1"/>
    </row>
    <row r="238" spans="19:19" x14ac:dyDescent="0.25">
      <c r="S238" s="1"/>
    </row>
    <row r="239" spans="19:19" x14ac:dyDescent="0.25">
      <c r="S239" s="1"/>
    </row>
    <row r="240" spans="19:19" x14ac:dyDescent="0.25">
      <c r="S240" s="1"/>
    </row>
  </sheetData>
  <mergeCells count="2">
    <mergeCell ref="F3:H4"/>
    <mergeCell ref="J3:L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076881-6BF4-462C-B587-BEA3813FCA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</vt:lpstr>
      <vt:lpstr>obliczenia</vt:lpstr>
      <vt:lpstr>wyniki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Kropielnicka</dc:creator>
  <cp:lastModifiedBy>Maja Kropielnicka</cp:lastModifiedBy>
  <dcterms:created xsi:type="dcterms:W3CDTF">2026-04-17T11:02:20Z</dcterms:created>
  <dcterms:modified xsi:type="dcterms:W3CDTF">2026-04-18T11:19:56Z</dcterms:modified>
</cp:coreProperties>
</file>